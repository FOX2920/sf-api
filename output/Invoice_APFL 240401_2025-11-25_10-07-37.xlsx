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Sheet1" sheetId="1" state="visible" r:id="rId1"/>
  </sheets>
  <externalReferences>
    <externalReference xmlns:r="http://schemas.openxmlformats.org/officeDocument/2006/relationships" r:id="rId2"/>
  </externalReferences>
  <definedNames>
    <definedName name="_xlnm.Print_Area" localSheetId="0">'Sheet1'!$A$1:$K$45</definedName>
  </definedNames>
  <calcPr calcId="191029" fullCalcOnLoad="1"/>
</workbook>
</file>

<file path=xl/styles.xml><?xml version="1.0" encoding="utf-8"?>
<styleSheet xmlns="http://schemas.openxmlformats.org/spreadsheetml/2006/main">
  <numFmts count="3">
    <numFmt numFmtId="164" formatCode="_(* #,##0_);_(* \(#,##0\);_(* &quot;-&quot;??_);_(@_)"/>
    <numFmt numFmtId="165" formatCode="0.00\ &quot;usd/ton&quot;"/>
    <numFmt numFmtId="166" formatCode="[$-409]mmmm\ d\,\ yyyy;@"/>
  </numFmts>
  <fonts count="19">
    <font>
      <name val="Calibri"/>
      <family val="2"/>
      <color theme="1"/>
      <sz val="11"/>
      <scheme val="minor"/>
    </font>
    <font>
      <name val="Calibri"/>
      <family val="2"/>
      <color theme="1"/>
      <sz val="11"/>
      <scheme val="minor"/>
    </font>
    <font>
      <name val="Arial"/>
      <family val="2"/>
      <sz val="10"/>
    </font>
    <font>
      <name val="Times New Roman"/>
      <family val="1"/>
      <i val="1"/>
      <sz val="10"/>
    </font>
    <font>
      <name val="Times New Roman"/>
      <family val="1"/>
      <b val="1"/>
      <i val="1"/>
      <sz val="10"/>
    </font>
    <font>
      <name val="Arial"/>
      <family val="2"/>
      <i val="1"/>
      <sz val="10"/>
    </font>
    <font>
      <name val="Arial"/>
      <family val="2"/>
      <b val="1"/>
      <sz val="12"/>
    </font>
    <font>
      <name val="Arial"/>
      <family val="2"/>
      <b val="1"/>
      <sz val="10"/>
    </font>
    <font>
      <name val="Arial"/>
      <family val="2"/>
      <sz val="11"/>
    </font>
    <font>
      <name val="Arial"/>
      <family val="2"/>
      <b val="1"/>
      <color indexed="12"/>
      <sz val="10"/>
    </font>
    <font>
      <name val="Arial"/>
      <family val="2"/>
      <b val="1"/>
      <color rgb="FFFF0000"/>
      <sz val="11"/>
    </font>
    <font>
      <name val="Arial"/>
      <family val="2"/>
      <b val="1"/>
      <color indexed="12"/>
      <sz val="11"/>
    </font>
    <font>
      <name val="Arial"/>
      <family val="2"/>
      <b val="1"/>
      <sz val="11"/>
    </font>
    <font>
      <name val="Arial"/>
      <family val="2"/>
      <b val="1"/>
      <color theme="1"/>
      <sz val="11"/>
    </font>
    <font>
      <name val="Arial"/>
      <family val="2"/>
      <color indexed="9"/>
      <sz val="10"/>
    </font>
    <font>
      <name val="Arial"/>
      <family val="2"/>
      <b val="1"/>
      <color indexed="9"/>
      <sz val="10"/>
    </font>
    <font>
      <name val="Arial"/>
      <family val="2"/>
      <b val="1"/>
      <sz val="11"/>
      <u val="single"/>
    </font>
    <font>
      <name val="Arial"/>
      <family val="2"/>
      <b val="1"/>
      <sz val="20"/>
    </font>
    <font>
      <name val="Arial"/>
      <family val="2"/>
      <sz val="12"/>
    </font>
  </fonts>
  <fills count="3">
    <fill>
      <patternFill/>
    </fill>
    <fill>
      <patternFill patternType="gray125"/>
    </fill>
    <fill>
      <patternFill patternType="solid">
        <fgColor indexed="63"/>
        <bgColor indexed="64"/>
      </patternFill>
    </fill>
  </fills>
  <borders count="39">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style="medium">
        <color indexed="64"/>
      </right>
      <top/>
      <bottom/>
      <diagonal/>
    </border>
    <border>
      <left style="medium">
        <color indexed="64"/>
      </left>
      <right/>
      <top/>
      <bottom/>
      <diagonal/>
    </border>
    <border>
      <left/>
      <right style="medium">
        <color indexed="64"/>
      </right>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s>
  <cellStyleXfs count="3">
    <xf numFmtId="0" fontId="1" fillId="0" borderId="0"/>
    <xf numFmtId="43" fontId="1" fillId="0" borderId="0"/>
    <xf numFmtId="43" fontId="2" fillId="0" borderId="0"/>
  </cellStyleXfs>
  <cellXfs count="117">
    <xf numFmtId="0" fontId="0" fillId="0" borderId="0" pivotButton="0" quotePrefix="0" xfId="0"/>
    <xf numFmtId="164" fontId="3" fillId="0" borderId="0" applyAlignment="1" pivotButton="0" quotePrefix="0" xfId="2">
      <alignment horizontal="center" vertical="center"/>
    </xf>
    <xf numFmtId="0" fontId="3" fillId="0" borderId="0" applyAlignment="1" pivotButton="0" quotePrefix="0" xfId="0">
      <alignment horizontal="center"/>
    </xf>
    <xf numFmtId="0" fontId="3" fillId="0" borderId="0" applyAlignment="1" pivotButton="0" quotePrefix="0" xfId="0">
      <alignment horizontal="left"/>
    </xf>
    <xf numFmtId="164" fontId="4" fillId="0" borderId="0" applyAlignment="1" pivotButton="0" quotePrefix="0" xfId="2">
      <alignment horizontal="right"/>
    </xf>
    <xf numFmtId="0" fontId="3" fillId="0" borderId="0" pivotButton="0" quotePrefix="0" xfId="0"/>
    <xf numFmtId="0" fontId="5" fillId="0" borderId="0" applyAlignment="1" pivotButton="0" quotePrefix="0" xfId="0">
      <alignment horizontal="left"/>
    </xf>
    <xf numFmtId="0" fontId="6" fillId="0" borderId="0" applyAlignment="1" pivotButton="0" quotePrefix="0" xfId="0">
      <alignment horizontal="center"/>
    </xf>
    <xf numFmtId="0" fontId="2" fillId="0" borderId="0" pivotButton="0" quotePrefix="0" xfId="0"/>
    <xf numFmtId="164" fontId="7" fillId="0" borderId="0" applyAlignment="1" pivotButton="0" quotePrefix="0" xfId="1">
      <alignment horizontal="center"/>
    </xf>
    <xf numFmtId="0" fontId="6" fillId="0" borderId="0" applyAlignment="1" pivotButton="0" quotePrefix="0" xfId="0">
      <alignment horizontal="center"/>
    </xf>
    <xf numFmtId="0" fontId="2" fillId="0" borderId="0" applyAlignment="1" pivotButton="0" quotePrefix="0" xfId="0">
      <alignment horizontal="center"/>
    </xf>
    <xf numFmtId="0" fontId="2" fillId="0" borderId="0" applyAlignment="1" pivotButton="0" quotePrefix="0" xfId="0">
      <alignment horizontal="right"/>
    </xf>
    <xf numFmtId="164" fontId="7" fillId="0" borderId="0" pivotButton="0" quotePrefix="0" xfId="1"/>
    <xf numFmtId="0" fontId="8" fillId="0" borderId="0" pivotButton="0" quotePrefix="0" xfId="0"/>
    <xf numFmtId="0" fontId="2" fillId="0" borderId="0" applyAlignment="1" pivotButton="0" quotePrefix="0" xfId="0">
      <alignment horizontal="center"/>
    </xf>
    <xf numFmtId="0" fontId="7" fillId="0" borderId="0" applyAlignment="1" pivotButton="0" quotePrefix="0" xfId="0">
      <alignment horizontal="center"/>
    </xf>
    <xf numFmtId="4" fontId="9" fillId="0" borderId="0" applyAlignment="1" pivotButton="0" quotePrefix="0" xfId="0">
      <alignment horizontal="center" vertical="center" wrapText="1"/>
    </xf>
    <xf numFmtId="0" fontId="2" fillId="0" borderId="0" applyAlignment="1" pivotButton="0" quotePrefix="0" xfId="0">
      <alignment horizontal="left" vertical="center"/>
    </xf>
    <xf numFmtId="0" fontId="10" fillId="0" borderId="0" applyAlignment="1" pivotButton="0" quotePrefix="0" xfId="0">
      <alignment vertical="center" wrapText="1"/>
    </xf>
    <xf numFmtId="0" fontId="0" fillId="0" borderId="1" pivotButton="0" quotePrefix="0" xfId="0"/>
    <xf numFmtId="0" fontId="0" fillId="0" borderId="2" pivotButton="0" quotePrefix="0" xfId="0"/>
    <xf numFmtId="4" fontId="11" fillId="0" borderId="3" applyAlignment="1" pivotButton="0" quotePrefix="0" xfId="0">
      <alignment horizontal="center" vertical="center" wrapText="1"/>
    </xf>
    <xf numFmtId="0" fontId="12" fillId="0" borderId="3" applyAlignment="1" pivotButton="0" quotePrefix="0" xfId="0">
      <alignment vertical="center"/>
    </xf>
    <xf numFmtId="0" fontId="10" fillId="0" borderId="3" applyAlignment="1" pivotButton="0" quotePrefix="0" xfId="0">
      <alignment horizontal="left" vertical="center" wrapText="1"/>
    </xf>
    <xf numFmtId="4" fontId="11" fillId="0" borderId="1" applyAlignment="1" pivotButton="0" quotePrefix="0" xfId="0">
      <alignment horizontal="center" vertical="center" wrapText="1"/>
    </xf>
    <xf numFmtId="4" fontId="11" fillId="0" borderId="2" applyAlignment="1" pivotButton="0" quotePrefix="0" xfId="0">
      <alignment horizontal="center" vertical="center" wrapText="1"/>
    </xf>
    <xf numFmtId="4" fontId="11" fillId="0" borderId="4" applyAlignment="1" pivotButton="0" quotePrefix="0" xfId="0">
      <alignment horizontal="center" vertical="center" wrapText="1"/>
    </xf>
    <xf numFmtId="0" fontId="12" fillId="0" borderId="3" applyAlignment="1" pivotButton="0" quotePrefix="0" xfId="0">
      <alignment horizontal="left" vertical="center" wrapText="1"/>
    </xf>
    <xf numFmtId="0" fontId="12" fillId="0" borderId="5" applyAlignment="1" pivotButton="0" quotePrefix="0" xfId="0">
      <alignment horizontal="left" vertical="top" wrapText="1"/>
    </xf>
    <xf numFmtId="0" fontId="12" fillId="0" borderId="6" applyAlignment="1" pivotButton="0" quotePrefix="0" xfId="0">
      <alignment horizontal="left" vertical="top" wrapText="1"/>
    </xf>
    <xf numFmtId="0" fontId="12" fillId="0" borderId="7" applyAlignment="1" pivotButton="0" quotePrefix="0" xfId="0">
      <alignment horizontal="left" vertical="top" wrapText="1"/>
    </xf>
    <xf numFmtId="0" fontId="12" fillId="0" borderId="8" applyAlignment="1" pivotButton="0" quotePrefix="0" xfId="0">
      <alignment horizontal="left" vertical="top" wrapText="1"/>
    </xf>
    <xf numFmtId="0" fontId="12" fillId="0" borderId="0" applyAlignment="1" pivotButton="0" quotePrefix="0" xfId="0">
      <alignment horizontal="left" vertical="top" wrapText="1"/>
    </xf>
    <xf numFmtId="0" fontId="12" fillId="0" borderId="9" applyAlignment="1" pivotButton="0" quotePrefix="0" xfId="0">
      <alignment horizontal="left" vertical="top" wrapText="1"/>
    </xf>
    <xf numFmtId="0" fontId="8" fillId="0" borderId="3" applyAlignment="1" pivotButton="0" quotePrefix="0" xfId="0">
      <alignment horizontal="center" vertical="center"/>
    </xf>
    <xf numFmtId="0" fontId="12" fillId="0" borderId="10" applyAlignment="1" pivotButton="0" quotePrefix="0" xfId="0">
      <alignment horizontal="left" vertical="top" wrapText="1"/>
    </xf>
    <xf numFmtId="0" fontId="12" fillId="0" borderId="11" applyAlignment="1" pivotButton="0" quotePrefix="0" xfId="0">
      <alignment horizontal="left" vertical="top" wrapText="1"/>
    </xf>
    <xf numFmtId="0" fontId="12" fillId="0" borderId="12" applyAlignment="1" pivotButton="0" quotePrefix="0" xfId="0">
      <alignment horizontal="left" vertical="top" wrapText="1"/>
    </xf>
    <xf numFmtId="0" fontId="8" fillId="0" borderId="3" applyAlignment="1" pivotButton="0" quotePrefix="0" xfId="0">
      <alignment vertical="center" wrapText="1"/>
    </xf>
    <xf numFmtId="4" fontId="12" fillId="0" borderId="3" applyAlignment="1" pivotButton="0" quotePrefix="0" xfId="0">
      <alignment horizontal="right" vertical="center" wrapText="1"/>
    </xf>
    <xf numFmtId="165" fontId="7" fillId="0" borderId="3" applyAlignment="1" pivotButton="0" quotePrefix="0" xfId="0">
      <alignment horizontal="center" vertical="center" wrapText="1"/>
    </xf>
    <xf numFmtId="0" fontId="2" fillId="0" borderId="3" applyAlignment="1" pivotButton="0" quotePrefix="0" xfId="0">
      <alignment horizontal="center" vertical="center" wrapText="1"/>
    </xf>
    <xf numFmtId="0" fontId="8" fillId="0" borderId="3" applyAlignment="1" pivotButton="0" quotePrefix="0" xfId="0">
      <alignment horizontal="center" vertical="center" wrapText="1"/>
    </xf>
    <xf numFmtId="43" fontId="8" fillId="0" borderId="3" applyAlignment="1" pivotButton="0" quotePrefix="0" xfId="1">
      <alignment horizontal="center" vertical="center" wrapText="1"/>
    </xf>
    <xf numFmtId="0" fontId="13" fillId="0" borderId="3" applyAlignment="1" pivotButton="0" quotePrefix="0" xfId="0">
      <alignment vertical="center" wrapText="1"/>
    </xf>
    <xf numFmtId="0" fontId="0" fillId="0" borderId="13" pivotButton="0" quotePrefix="0" xfId="0"/>
    <xf numFmtId="0" fontId="0" fillId="0" borderId="14" pivotButton="0" quotePrefix="0" xfId="0"/>
    <xf numFmtId="0" fontId="14" fillId="2" borderId="15" applyAlignment="1" pivotButton="0" quotePrefix="0" xfId="0">
      <alignment horizontal="center" vertical="center"/>
    </xf>
    <xf numFmtId="0" fontId="0" fillId="0" borderId="10" pivotButton="0" quotePrefix="0" xfId="0"/>
    <xf numFmtId="0" fontId="14" fillId="2" borderId="15" applyAlignment="1" pivotButton="0" quotePrefix="0" xfId="0">
      <alignment horizontal="center" vertical="center" wrapText="1"/>
    </xf>
    <xf numFmtId="0" fontId="0" fillId="0" borderId="16" pivotButton="0" quotePrefix="0" xfId="0"/>
    <xf numFmtId="0" fontId="15" fillId="2" borderId="17" applyAlignment="1" pivotButton="0" quotePrefix="0" xfId="0">
      <alignment horizontal="center" vertical="center" wrapText="1"/>
    </xf>
    <xf numFmtId="0" fontId="15" fillId="2" borderId="18" applyAlignment="1" pivotButton="0" quotePrefix="0" xfId="0">
      <alignment horizontal="center" vertical="center" wrapText="1"/>
    </xf>
    <xf numFmtId="0" fontId="0" fillId="0" borderId="19" pivotButton="0" quotePrefix="0" xfId="0"/>
    <xf numFmtId="0" fontId="0" fillId="0" borderId="20" pivotButton="0" quotePrefix="0" xfId="0"/>
    <xf numFmtId="0" fontId="15" fillId="2" borderId="18" applyAlignment="1" pivotButton="0" quotePrefix="0" xfId="0">
      <alignment horizontal="center" vertical="center"/>
    </xf>
    <xf numFmtId="0" fontId="15" fillId="2" borderId="21" applyAlignment="1" pivotButton="0" quotePrefix="0" xfId="0">
      <alignment horizontal="center" vertical="center" wrapText="1"/>
    </xf>
    <xf numFmtId="0" fontId="0" fillId="0" borderId="22" pivotButton="0" quotePrefix="0" xfId="0"/>
    <xf numFmtId="0" fontId="2" fillId="0" borderId="0" pivotButton="0" quotePrefix="0" xfId="0"/>
    <xf numFmtId="0" fontId="2" fillId="0" borderId="0" applyAlignment="1" pivotButton="0" quotePrefix="0" xfId="0">
      <alignment horizontal="right"/>
    </xf>
    <xf numFmtId="164" fontId="7" fillId="0" borderId="0" applyAlignment="1" pivotButton="0" quotePrefix="0" xfId="1">
      <alignment horizontal="center"/>
    </xf>
    <xf numFmtId="0" fontId="12" fillId="0" borderId="23" applyAlignment="1" pivotButton="0" quotePrefix="0" xfId="0">
      <alignment horizontal="left" vertical="center" wrapText="1"/>
    </xf>
    <xf numFmtId="0" fontId="12" fillId="0" borderId="0" applyAlignment="1" pivotButton="0" quotePrefix="0" xfId="0">
      <alignment vertical="top"/>
    </xf>
    <xf numFmtId="0" fontId="12" fillId="0" borderId="24" applyAlignment="1" pivotButton="0" quotePrefix="0" xfId="0">
      <alignment vertical="top"/>
    </xf>
    <xf numFmtId="0" fontId="0" fillId="0" borderId="25" pivotButton="0" quotePrefix="0" xfId="0"/>
    <xf numFmtId="0" fontId="0" fillId="0" borderId="6" pivotButton="0" quotePrefix="0" xfId="0"/>
    <xf numFmtId="0" fontId="0" fillId="0" borderId="7" pivotButton="0" quotePrefix="0" xfId="0"/>
    <xf numFmtId="0" fontId="0" fillId="0" borderId="5" pivotButton="0" quotePrefix="0" xfId="0"/>
    <xf numFmtId="0" fontId="0" fillId="0" borderId="8" pivotButton="0" quotePrefix="0" xfId="0"/>
    <xf numFmtId="0" fontId="8" fillId="0" borderId="26" applyAlignment="1" pivotButton="0" quotePrefix="0" xfId="0">
      <alignment horizontal="left" vertical="top"/>
    </xf>
    <xf numFmtId="0" fontId="0" fillId="0" borderId="9" pivotButton="0" quotePrefix="0" xfId="0"/>
    <xf numFmtId="0" fontId="0" fillId="0" borderId="27" pivotButton="0" quotePrefix="0" xfId="0"/>
    <xf numFmtId="0" fontId="0" fillId="0" borderId="11" pivotButton="0" quotePrefix="0" xfId="0"/>
    <xf numFmtId="0" fontId="8" fillId="0" borderId="28" applyAlignment="1" pivotButton="0" quotePrefix="0" xfId="0">
      <alignment horizontal="left" vertical="justify" wrapText="1"/>
    </xf>
    <xf numFmtId="0" fontId="8" fillId="0" borderId="3" applyAlignment="1" pivotButton="0" quotePrefix="0" xfId="0">
      <alignment horizontal="left" vertical="justify" wrapText="1"/>
    </xf>
    <xf numFmtId="0" fontId="7" fillId="0" borderId="29" applyAlignment="1" pivotButton="0" quotePrefix="0" xfId="0">
      <alignment horizontal="left" vertical="center" wrapText="1"/>
    </xf>
    <xf numFmtId="166" fontId="12" fillId="0" borderId="13" applyAlignment="1" pivotButton="0" quotePrefix="0" xfId="0">
      <alignment horizontal="left" vertical="center"/>
    </xf>
    <xf numFmtId="166" fontId="12" fillId="0" borderId="14" applyAlignment="1" pivotButton="0" quotePrefix="0" xfId="0">
      <alignment horizontal="left" vertical="center"/>
    </xf>
    <xf numFmtId="0" fontId="8" fillId="0" borderId="5" applyProtection="1" pivotButton="0" quotePrefix="0" xfId="0">
      <protection locked="0" hidden="0"/>
    </xf>
    <xf numFmtId="0" fontId="8" fillId="0" borderId="30" applyAlignment="1" applyProtection="1" pivotButton="0" quotePrefix="0" xfId="0">
      <alignment vertical="center"/>
      <protection locked="0" hidden="0"/>
    </xf>
    <xf numFmtId="0" fontId="8" fillId="0" borderId="31" applyAlignment="1" pivotButton="0" quotePrefix="0" xfId="0">
      <alignment horizontal="left" vertical="center"/>
    </xf>
    <xf numFmtId="0" fontId="8" fillId="0" borderId="15" applyAlignment="1" pivotButton="0" quotePrefix="0" xfId="0">
      <alignment horizontal="left" vertical="center"/>
    </xf>
    <xf numFmtId="0" fontId="8" fillId="0" borderId="0" applyAlignment="1" applyProtection="1" pivotButton="0" quotePrefix="0" xfId="0">
      <alignment vertical="center"/>
      <protection locked="0" hidden="0"/>
    </xf>
    <xf numFmtId="0" fontId="8" fillId="0" borderId="24" pivotButton="0" quotePrefix="0" xfId="0"/>
    <xf numFmtId="0" fontId="12" fillId="0" borderId="14" applyAlignment="1" pivotButton="0" quotePrefix="0" xfId="0">
      <alignment horizontal="center" vertical="center" wrapText="1"/>
    </xf>
    <xf numFmtId="0" fontId="12" fillId="0" borderId="7" applyAlignment="1" pivotButton="0" quotePrefix="0" xfId="0">
      <alignment horizontal="left" vertical="center" wrapText="1"/>
    </xf>
    <xf numFmtId="0" fontId="8" fillId="0" borderId="26" applyAlignment="1" pivotButton="0" quotePrefix="0" xfId="0">
      <alignment horizontal="left" vertical="center"/>
    </xf>
    <xf numFmtId="0" fontId="8" fillId="0" borderId="12" applyAlignment="1" pivotButton="0" quotePrefix="0" xfId="0">
      <alignment horizontal="left" vertical="center"/>
    </xf>
    <xf numFmtId="0" fontId="8" fillId="0" borderId="26" applyAlignment="1" pivotButton="0" quotePrefix="0" xfId="0">
      <alignment horizontal="left" vertical="center" wrapText="1"/>
    </xf>
    <xf numFmtId="166" fontId="11" fillId="0" borderId="13" applyAlignment="1" pivotButton="0" quotePrefix="0" xfId="0">
      <alignment horizontal="center" vertical="center" wrapText="1"/>
    </xf>
    <xf numFmtId="0" fontId="12" fillId="0" borderId="32" applyAlignment="1" pivotButton="0" quotePrefix="0" xfId="0">
      <alignment horizontal="left" vertical="center" wrapText="1"/>
    </xf>
    <xf numFmtId="0" fontId="12" fillId="0" borderId="31" applyAlignment="1" pivotButton="0" quotePrefix="0" xfId="0">
      <alignment horizontal="center" vertical="center" wrapText="1"/>
    </xf>
    <xf numFmtId="0" fontId="8" fillId="0" borderId="12" applyAlignment="1" pivotButton="0" quotePrefix="0" xfId="0">
      <alignment horizontal="left" vertical="center" wrapText="1"/>
    </xf>
    <xf numFmtId="0" fontId="8" fillId="0" borderId="32" applyAlignment="1" pivotButton="0" quotePrefix="0" xfId="0">
      <alignment horizontal="left" vertical="center" wrapText="1"/>
    </xf>
    <xf numFmtId="166" fontId="12" fillId="0" borderId="13" applyAlignment="1" applyProtection="1" pivotButton="0" quotePrefix="0" xfId="0">
      <alignment horizontal="center" vertical="center" wrapText="1"/>
      <protection locked="0" hidden="0"/>
    </xf>
    <xf numFmtId="0" fontId="0" fillId="0" borderId="6" applyProtection="1" pivotButton="0" quotePrefix="0" xfId="0">
      <protection locked="0" hidden="0"/>
    </xf>
    <xf numFmtId="166" fontId="12" fillId="0" borderId="7" applyAlignment="1" applyProtection="1" pivotButton="0" quotePrefix="0" xfId="0">
      <alignment horizontal="left" vertical="center" wrapText="1"/>
      <protection locked="0" hidden="0"/>
    </xf>
    <xf numFmtId="40" fontId="12" fillId="0" borderId="14" applyAlignment="1" pivotButton="0" quotePrefix="0" xfId="0">
      <alignment horizontal="left" vertical="center" wrapText="1"/>
    </xf>
    <xf numFmtId="0" fontId="12" fillId="0" borderId="26" applyAlignment="1" pivotButton="0" quotePrefix="0" xfId="0">
      <alignment horizontal="left" vertical="center" wrapText="1"/>
    </xf>
    <xf numFmtId="0" fontId="8" fillId="0" borderId="33" applyAlignment="1" applyProtection="1" pivotButton="0" quotePrefix="0" xfId="0">
      <alignment horizontal="center" vertical="center" wrapText="1"/>
      <protection locked="0" hidden="1"/>
    </xf>
    <xf numFmtId="0" fontId="0" fillId="0" borderId="34" applyProtection="1" pivotButton="0" quotePrefix="0" xfId="0">
      <protection locked="0" hidden="1"/>
    </xf>
    <xf numFmtId="0" fontId="12" fillId="0" borderId="35" applyAlignment="1" applyProtection="1" pivotButton="0" quotePrefix="0" xfId="0">
      <alignment horizontal="left" vertical="center" wrapText="1"/>
      <protection locked="0" hidden="1"/>
    </xf>
    <xf numFmtId="0" fontId="0" fillId="0" borderId="36" applyProtection="1" pivotButton="0" quotePrefix="0" xfId="0">
      <protection locked="0" hidden="0"/>
    </xf>
    <xf numFmtId="0" fontId="0" fillId="0" borderId="34" applyProtection="1" pivotButton="0" quotePrefix="0" xfId="0">
      <protection locked="0" hidden="0"/>
    </xf>
    <xf numFmtId="0" fontId="8" fillId="0" borderId="37" applyAlignment="1" applyProtection="1" pivotButton="0" quotePrefix="0" xfId="0">
      <alignment horizontal="left" vertical="center" wrapText="1"/>
      <protection locked="0" hidden="0"/>
    </xf>
    <xf numFmtId="0" fontId="16" fillId="0" borderId="34" applyAlignment="1" applyProtection="1" pivotButton="0" quotePrefix="0" xfId="0">
      <alignment vertical="center"/>
      <protection locked="0" hidden="0"/>
    </xf>
    <xf numFmtId="0" fontId="16" fillId="0" borderId="38" applyAlignment="1" applyProtection="1" pivotButton="0" quotePrefix="0" xfId="0">
      <alignment vertical="center"/>
      <protection locked="0" hidden="0"/>
    </xf>
    <xf numFmtId="0" fontId="17" fillId="0" borderId="0" applyAlignment="1" pivotButton="0" quotePrefix="0" xfId="0">
      <alignment horizontal="center" vertical="center"/>
    </xf>
    <xf numFmtId="0" fontId="18" fillId="0" borderId="0" pivotButton="0" quotePrefix="0" xfId="0"/>
    <xf numFmtId="0" fontId="8" fillId="0" borderId="0" applyAlignment="1" pivotButton="0" quotePrefix="0" xfId="0">
      <alignment horizontal="left" vertical="top" wrapText="1"/>
    </xf>
    <xf numFmtId="0" fontId="18" fillId="0" borderId="0" applyAlignment="1" pivotButton="0" quotePrefix="0" xfId="0">
      <alignment horizontal="center"/>
    </xf>
    <xf numFmtId="0" fontId="18" fillId="0" borderId="0" pivotButton="0" quotePrefix="0" xfId="0"/>
    <xf numFmtId="0" fontId="18" fillId="0" borderId="0" applyAlignment="1" pivotButton="0" quotePrefix="0" xfId="0">
      <alignment horizontal="right"/>
    </xf>
    <xf numFmtId="164" fontId="6" fillId="0" borderId="0" applyAlignment="1" pivotButton="0" quotePrefix="0" xfId="1">
      <alignment horizontal="center"/>
    </xf>
    <xf numFmtId="0" fontId="6" fillId="0" borderId="0" pivotButton="0" quotePrefix="0" xfId="0"/>
    <xf numFmtId="0" fontId="12" fillId="0" borderId="3" applyAlignment="1" pivotButton="0" quotePrefix="0" xfId="0">
      <alignment horizontal="left" vertical="top" wrapText="1"/>
    </xf>
  </cellXfs>
  <cellStyles count="3">
    <cellStyle name="Normal" xfId="0" builtinId="0"/>
    <cellStyle name="Comma" xfId="1" builtinId="3"/>
    <cellStyle name="Comma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externalLinks/_rels/externalLink1.xml.rels><Relationships xmlns="http://schemas.openxmlformats.org/package/2006/relationships"><Relationship Type="http://schemas.microsoft.com/office/2006/relationships/xlExternalLinkPath/xlPathMissing" Target="RecoveredExternalLink1"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PackingList"/>
      <sheetName val="Invoice"/>
    </sheetNames>
    <sheetDataSet>
      <sheetData sheetId="0">
        <row r="7">
          <cell r="C7" t="str">
            <v>APFL 240401</v>
          </cell>
        </row>
        <row r="16">
          <cell r="F16" t="str">
            <v>pieces/ m2/tons</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K47"/>
  <sheetViews>
    <sheetView tabSelected="1" workbookViewId="0">
      <selection activeCell="H13" sqref="H13:K15"/>
    </sheetView>
  </sheetViews>
  <sheetFormatPr baseColWidth="8" defaultRowHeight="15"/>
  <cols>
    <col width="35.140625" customWidth="1" min="1" max="1"/>
    <col width="22.42578125" customWidth="1" min="2" max="2"/>
    <col width="20.28515625" customWidth="1" min="8" max="8"/>
    <col width="14.85546875" customWidth="1" min="9" max="9"/>
    <col width="14" customWidth="1" min="10" max="10"/>
    <col width="16.7109375" customWidth="1" min="11" max="11"/>
  </cols>
  <sheetData>
    <row r="1" ht="15.75" customHeight="1">
      <c r="A1" s="115" t="inlineStr">
        <is>
          <t>A PLUS MINERAL MATERIAL CORPORATION</t>
        </is>
      </c>
      <c r="B1" s="115" t="n"/>
      <c r="C1" s="115" t="n"/>
      <c r="D1" s="115" t="n"/>
      <c r="E1" s="115" t="n"/>
      <c r="F1" s="114" t="n"/>
      <c r="G1" s="112" t="n"/>
      <c r="H1" s="112" t="n"/>
      <c r="I1" s="113" t="n"/>
      <c r="J1" s="112" t="n"/>
      <c r="K1" s="111" t="n"/>
    </row>
    <row r="2" ht="15.75" customHeight="1">
      <c r="A2" s="110" t="inlineStr">
        <is>
          <t>1A, 4th Floor, Broadway B, 102 Nguyen Luong Bang Street, District 7, Ho Chi Minh City, Vietnam.
Tel: 84.28.5412.2189 ; Fax: 84.28.5413.6218</t>
        </is>
      </c>
    </row>
    <row r="3" ht="15.75" customHeight="1">
      <c r="A3" s="33" t="inlineStr">
        <is>
          <t>REX NUMBER: VNREX0306318488VCCI10L01 (Date from which the REX authorisation is valid: 15/06/2020)</t>
        </is>
      </c>
    </row>
    <row r="4" ht="27" customHeight="1" thickBot="1">
      <c r="A4" s="108" t="inlineStr">
        <is>
          <t>INVOICE</t>
        </is>
      </c>
    </row>
    <row r="5">
      <c r="A5" s="107" t="inlineStr">
        <is>
          <t>BUYER/CUSTOMER:</t>
        </is>
      </c>
      <c r="B5" s="106" t="n"/>
      <c r="C5" s="105" t="inlineStr">
        <is>
          <t>INVOICE NO:</t>
        </is>
      </c>
      <c r="D5" s="104" t="n"/>
      <c r="E5" s="104" t="n"/>
      <c r="F5" s="104" t="n"/>
      <c r="G5" s="104" t="n"/>
      <c r="H5" s="103" t="n"/>
      <c r="I5" s="102" t="inlineStr">
        <is>
          <t>CLIENT :</t>
        </is>
      </c>
      <c r="J5" s="101" t="n"/>
      <c r="K5" s="100" t="inlineStr">
        <is>
          <t>DATE :</t>
        </is>
      </c>
    </row>
    <row r="6" ht="75" customHeight="1">
      <c r="A6" s="99" t="inlineStr">
        <is>
          <t>APFL GRANIT GMBH</t>
        </is>
      </c>
      <c r="B6" s="69" t="n"/>
      <c r="C6" s="98" t="inlineStr">
        <is>
          <t>APFL 240401</t>
        </is>
      </c>
      <c r="D6" s="66" t="n"/>
      <c r="E6" s="66" t="n"/>
      <c r="F6" s="66" t="n"/>
      <c r="G6" s="66" t="n"/>
      <c r="H6" s="68" t="n"/>
      <c r="I6" s="97" t="n"/>
      <c r="J6" s="96" t="n"/>
      <c r="K6" s="95" t="inlineStr">
        <is>
          <t>2024-04-22</t>
        </is>
      </c>
    </row>
    <row r="7" ht="22.5" customHeight="1">
      <c r="A7" s="87" t="inlineStr">
        <is>
          <t>LINDENWEG 1</t>
        </is>
      </c>
      <c r="B7" s="69" t="n"/>
      <c r="C7" s="94" t="inlineStr">
        <is>
          <t>PORT OF ORIGIN:</t>
        </is>
      </c>
      <c r="H7" s="69" t="n"/>
      <c r="I7" s="93" t="inlineStr">
        <is>
          <t>FINAL DESTINATION:</t>
        </is>
      </c>
      <c r="J7" s="73" t="n"/>
      <c r="K7" s="92" t="inlineStr">
        <is>
          <t>STOCKYARD :</t>
        </is>
      </c>
    </row>
    <row r="8" ht="48" customHeight="1">
      <c r="A8" s="89" t="inlineStr">
        <is>
          <t>PETERSDORF
94265
Germany</t>
        </is>
      </c>
      <c r="B8" s="69" t="n"/>
      <c r="C8" s="91" t="inlineStr">
        <is>
          <t>Qui Nhon port</t>
        </is>
      </c>
      <c r="H8" s="69" t="n"/>
      <c r="I8" s="85" t="inlineStr">
        <is>
          <t>HAMBURG</t>
        </is>
      </c>
      <c r="J8" s="68" t="n"/>
      <c r="K8" s="90" t="inlineStr">
        <is>
          <t>Furth</t>
        </is>
      </c>
    </row>
    <row r="9" ht="36" customHeight="1">
      <c r="A9" s="89" t="inlineStr">
        <is>
          <t>Tel: +49(0)9923-80101-12</t>
        </is>
      </c>
      <c r="B9" s="69" t="n"/>
      <c r="C9" s="88" t="inlineStr">
        <is>
          <t>OCEAN VESSEL</t>
        </is>
      </c>
      <c r="D9" s="73" t="n"/>
      <c r="E9" s="73" t="n"/>
      <c r="F9" s="73" t="n"/>
      <c r="G9" s="82" t="inlineStr">
        <is>
          <t>B/L NO.</t>
        </is>
      </c>
      <c r="H9" s="49" t="n"/>
      <c r="I9" s="74" t="inlineStr">
        <is>
          <t>INCOTERMS:
☑ Collect
☐ Prepaid
☐ Freight</t>
        </is>
      </c>
      <c r="J9" s="73" t="n"/>
      <c r="K9" s="72" t="n"/>
    </row>
    <row r="10" ht="34.5" customHeight="1">
      <c r="A10" s="87" t="inlineStr">
        <is>
          <t xml:space="preserve">Fax: </t>
        </is>
      </c>
      <c r="B10" s="69" t="n"/>
      <c r="C10" s="86" t="inlineStr">
        <is>
          <t>MSC IDA II V.HZ414A</t>
        </is>
      </c>
      <c r="D10" s="66" t="n"/>
      <c r="E10" s="66" t="n"/>
      <c r="F10" s="66" t="n"/>
      <c r="G10" s="85" t="inlineStr">
        <is>
          <t>MEDUF2486803</t>
        </is>
      </c>
      <c r="H10" s="68" t="n"/>
      <c r="I10" s="67" t="n"/>
      <c r="J10" s="66" t="n"/>
      <c r="K10" s="65" t="n"/>
    </row>
    <row r="11">
      <c r="A11" s="84" t="inlineStr">
        <is>
          <t xml:space="preserve">VAT NO. : </t>
        </is>
      </c>
      <c r="B11" s="83" t="n"/>
      <c r="C11" s="82" t="inlineStr">
        <is>
          <t>DEPARTURE DATE:</t>
        </is>
      </c>
      <c r="D11" s="73" t="n"/>
      <c r="E11" s="73" t="n"/>
      <c r="F11" s="73" t="n"/>
      <c r="G11" s="73" t="n"/>
      <c r="H11" s="49" t="n"/>
      <c r="I11" s="81" t="inlineStr">
        <is>
          <t>ARRIVAL SCHEDULE:</t>
        </is>
      </c>
      <c r="J11" s="73" t="n"/>
      <c r="K11" s="72" t="n"/>
    </row>
    <row r="12">
      <c r="A12" s="80" t="n"/>
      <c r="B12" s="79" t="n"/>
      <c r="C12" s="78" t="inlineStr">
        <is>
          <t>2024-04-03</t>
        </is>
      </c>
      <c r="D12" s="66" t="n"/>
      <c r="E12" s="66" t="n"/>
      <c r="F12" s="66" t="n"/>
      <c r="G12" s="66" t="n"/>
      <c r="H12" s="68" t="n"/>
      <c r="I12" s="77" t="inlineStr"/>
      <c r="J12" s="66" t="n"/>
      <c r="K12" s="65" t="n"/>
    </row>
    <row r="13" ht="31.5" customHeight="1">
      <c r="A13" s="76" t="inlineStr">
        <is>
          <t>REMARK NUMBER ON DOCUMENTS :</t>
        </is>
      </c>
      <c r="B13" s="49" t="n"/>
      <c r="C13" s="75" t="inlineStr">
        <is>
          <t>TERMS OF SALE:
FOB</t>
        </is>
      </c>
      <c r="D13" s="73" t="n"/>
      <c r="E13" s="73" t="n"/>
      <c r="F13" s="73" t="n"/>
      <c r="G13" s="49" t="n"/>
      <c r="H13" s="74" t="inlineStr">
        <is>
          <t>TERMS OF PAYMENT:
T/T at Sight Draft</t>
        </is>
      </c>
      <c r="I13" s="73" t="n"/>
      <c r="J13" s="73" t="n"/>
      <c r="K13" s="72" t="n"/>
    </row>
    <row r="14" ht="32.25" customHeight="1">
      <c r="A14" s="70" t="inlineStr"/>
      <c r="B14" s="69" t="n"/>
      <c r="C14" s="71" t="n"/>
      <c r="G14" s="69" t="n"/>
      <c r="H14" s="71" t="n"/>
      <c r="K14" s="58" t="n"/>
    </row>
    <row r="15" ht="33.75" customHeight="1">
      <c r="A15" s="70" t="n"/>
      <c r="B15" s="69" t="n"/>
      <c r="C15" s="67" t="n"/>
      <c r="D15" s="66" t="n"/>
      <c r="E15" s="66" t="n"/>
      <c r="F15" s="66" t="n"/>
      <c r="G15" s="68" t="n"/>
      <c r="H15" s="67" t="n"/>
      <c r="I15" s="66" t="n"/>
      <c r="J15" s="66" t="n"/>
      <c r="K15" s="65" t="n"/>
    </row>
    <row r="16">
      <c r="A16" s="64" t="n"/>
      <c r="B16" s="63" t="n"/>
      <c r="C16" s="62" t="inlineStr">
        <is>
          <t>BANK DETAIL: A PLUS MINERAL MATERIAL CORPORATION</t>
        </is>
      </c>
      <c r="K16" s="58" t="n"/>
    </row>
    <row r="17">
      <c r="A17" s="64" t="n"/>
      <c r="B17" s="63" t="n"/>
      <c r="C17" s="62" t="inlineStr">
        <is>
          <t>A/C No: 018.137.261.4117 Bank for Foreign Trade of VietNam (Vietcombank), Nam SaiGon branch</t>
        </is>
      </c>
      <c r="K17" s="58" t="n"/>
    </row>
    <row r="18" ht="15.75" customHeight="1" thickBot="1">
      <c r="A18" s="64" t="n"/>
      <c r="B18" s="63" t="n"/>
      <c r="C18" s="62" t="inlineStr">
        <is>
          <t>Swift Code: BFTVVNVX018 ; Tel: 84.8.5413.5124 ; Fax: 84.8.5413.5127</t>
        </is>
      </c>
      <c r="K18" s="58" t="n"/>
    </row>
    <row r="19">
      <c r="A19" s="57" t="inlineStr">
        <is>
          <t>ITEM
No.</t>
        </is>
      </c>
      <c r="B19" s="56" t="inlineStr">
        <is>
          <t>PRODUCT DESCRIPTION</t>
        </is>
      </c>
      <c r="C19" s="56" t="inlineStr">
        <is>
          <t>SIZE (cm)</t>
        </is>
      </c>
      <c r="D19" s="55" t="n"/>
      <c r="E19" s="54" t="n"/>
      <c r="F19" s="56" t="inlineStr">
        <is>
          <t>QUANTITY</t>
        </is>
      </c>
      <c r="G19" s="55" t="n"/>
      <c r="H19" s="54" t="n"/>
      <c r="I19" s="53" t="inlineStr">
        <is>
          <t>UNIT PRICE</t>
        </is>
      </c>
      <c r="J19" s="53" t="inlineStr">
        <is>
          <t>TOTAL PRICE
FOB</t>
        </is>
      </c>
      <c r="K19" s="52" t="inlineStr">
        <is>
          <t>NOTE</t>
        </is>
      </c>
    </row>
    <row r="20">
      <c r="A20" s="51" t="n"/>
      <c r="B20" s="47" t="n"/>
      <c r="C20" s="48" t="inlineStr">
        <is>
          <t>L</t>
        </is>
      </c>
      <c r="D20" s="48" t="inlineStr">
        <is>
          <t>W</t>
        </is>
      </c>
      <c r="E20" s="48" t="inlineStr">
        <is>
          <t>H</t>
        </is>
      </c>
      <c r="F20" s="50">
        <f>[1]PackingList!F16</f>
        <v/>
      </c>
      <c r="G20" s="49" t="n"/>
      <c r="H20" s="48" t="inlineStr">
        <is>
          <t>Containers</t>
        </is>
      </c>
      <c r="I20" s="47" t="n"/>
      <c r="J20" s="47" t="n"/>
      <c r="K20" s="46" t="n"/>
    </row>
    <row r="21" ht="86.25" customHeight="1">
      <c r="A21" s="43" t="inlineStr">
        <is>
          <t>1</t>
        </is>
      </c>
      <c r="B21" s="45" t="inlineStr">
        <is>
          <t>Black Basalt Cubic Hand split (Packing in wooden crate)</t>
        </is>
      </c>
      <c r="C21" s="43" t="n">
        <v>10</v>
      </c>
      <c r="D21" s="43" t="n">
        <v>10</v>
      </c>
      <c r="E21" s="43" t="n">
        <v>8</v>
      </c>
      <c r="F21" s="44" t="n">
        <v>28.05</v>
      </c>
      <c r="G21" s="43" t="inlineStr">
        <is>
          <t>TONS</t>
        </is>
      </c>
      <c r="H21" s="42" t="n">
        <v>1</v>
      </c>
      <c r="I21" s="41" t="inlineStr">
        <is>
          <t>114.0 USD/TON</t>
        </is>
      </c>
      <c r="J21" s="40" t="n">
        <v>3197.7</v>
      </c>
      <c r="K21" s="39" t="inlineStr">
        <is>
          <t>11/A-X27/23 (2301205)</t>
        </is>
      </c>
    </row>
    <row r="22" ht="86.25" customHeight="1">
      <c r="A22" s="43" t="inlineStr">
        <is>
          <t>2</t>
        </is>
      </c>
      <c r="B22" s="45" t="inlineStr">
        <is>
          <t>Black Basalt Cubes   All side handmade</t>
        </is>
      </c>
      <c r="C22" s="43" t="n">
        <v>15</v>
      </c>
      <c r="D22" s="43" t="n">
        <v>15</v>
      </c>
      <c r="E22" s="43" t="n">
        <v>15</v>
      </c>
      <c r="F22" s="44" t="n">
        <v>28.17</v>
      </c>
      <c r="G22" s="43" t="inlineStr">
        <is>
          <t>TONS</t>
        </is>
      </c>
      <c r="H22" s="42" t="n">
        <v>2</v>
      </c>
      <c r="I22" s="41" t="inlineStr">
        <is>
          <t>112.13 USD/TON</t>
        </is>
      </c>
      <c r="J22" s="40" t="n">
        <v>3158.7</v>
      </c>
      <c r="K22" s="39" t="inlineStr">
        <is>
          <t>11/A-X27/23 (2301205)</t>
        </is>
      </c>
    </row>
    <row r="23" ht="86.25" customHeight="1">
      <c r="A23" s="43" t="inlineStr">
        <is>
          <t>3</t>
        </is>
      </c>
      <c r="B23" s="45" t="inlineStr">
        <is>
          <t>Black Basalt Cubes   All side handmade</t>
        </is>
      </c>
      <c r="C23" s="43" t="n">
        <v>15</v>
      </c>
      <c r="D23" s="43" t="n">
        <v>15</v>
      </c>
      <c r="E23" s="43" t="n">
        <v>15</v>
      </c>
      <c r="F23" s="44" t="n">
        <v>28.17</v>
      </c>
      <c r="G23" s="43" t="inlineStr">
        <is>
          <t>TONS</t>
        </is>
      </c>
      <c r="H23" s="42" t="n">
        <v>3</v>
      </c>
      <c r="I23" s="41" t="inlineStr">
        <is>
          <t>112.13 USD/TON</t>
        </is>
      </c>
      <c r="J23" s="40" t="n">
        <v>3158.7</v>
      </c>
      <c r="K23" s="39" t="inlineStr">
        <is>
          <t>11/A-X27/23 (2301205)</t>
        </is>
      </c>
    </row>
    <row r="24" ht="32.25" customHeight="1">
      <c r="A24" s="116" t="inlineStr">
        <is>
          <t xml:space="preserve">1. All price quoted herein are US dollars.
2. Prices quoted herein for merchandise only are valid for 90 days.
3. Any changes in shipping costs or insurance rates are for account of the buyer.
</t>
        </is>
      </c>
      <c r="B24" s="73" t="n"/>
      <c r="C24" s="73" t="n"/>
      <c r="D24" s="73" t="n"/>
      <c r="E24" s="73" t="n"/>
      <c r="F24" s="73" t="n"/>
      <c r="G24" s="49" t="n"/>
      <c r="H24" s="23" t="inlineStr">
        <is>
          <t>SUBTOTAL</t>
        </is>
      </c>
      <c r="I24" s="22" t="inlineStr">
        <is>
          <t>9515.1</t>
        </is>
      </c>
      <c r="J24" s="21" t="n"/>
      <c r="K24" s="20" t="n"/>
    </row>
    <row r="25" ht="36" customHeight="1">
      <c r="A25" s="71" t="n"/>
      <c r="G25" s="69" t="n"/>
      <c r="H25" s="23" t="inlineStr">
        <is>
          <t>Fumigation</t>
        </is>
      </c>
      <c r="I25" s="35" t="inlineStr">
        <is>
          <t>Included</t>
        </is>
      </c>
      <c r="J25" s="21" t="n"/>
      <c r="K25" s="20" t="n"/>
    </row>
    <row r="26" ht="43.5" customHeight="1">
      <c r="A26" s="71" t="n"/>
      <c r="G26" s="69" t="n"/>
      <c r="H26" s="28" t="inlineStr">
        <is>
          <t>Deduct: Deposit of PI 11/A-X27/23</t>
        </is>
      </c>
      <c r="I26" s="22" t="inlineStr">
        <is>
          <t>2,854.64</t>
        </is>
      </c>
      <c r="J26" s="21" t="n"/>
      <c r="K26" s="20" t="n"/>
    </row>
    <row r="27" ht="29.25" customHeight="1">
      <c r="A27" s="71" t="n"/>
      <c r="G27" s="69" t="n"/>
      <c r="H27" s="28" t="n"/>
      <c r="I27" s="22" t="inlineStr">
        <is>
          <t>{{Refund_Amount__c\# #,##0.##}} {{TableEnd:Shipment__c.r.Cases__r}}</t>
        </is>
      </c>
      <c r="J27" s="21" t="n"/>
      <c r="K27" s="20" t="n"/>
    </row>
    <row r="28">
      <c r="A28" s="67" t="n"/>
      <c r="B28" s="66" t="n"/>
      <c r="C28" s="66" t="n"/>
      <c r="D28" s="66" t="n"/>
      <c r="E28" s="66" t="n"/>
      <c r="F28" s="66" t="n"/>
      <c r="G28" s="68" t="n"/>
      <c r="H28" s="28" t="n"/>
      <c r="I28" s="22" t="n"/>
      <c r="J28" s="21" t="n"/>
      <c r="K28" s="20" t="n"/>
    </row>
    <row r="29">
      <c r="A29" s="24" t="inlineStr">
        <is>
          <t xml:space="preserve">In words:
</t>
        </is>
      </c>
      <c r="B29" s="21" t="n"/>
      <c r="C29" s="21" t="n"/>
      <c r="D29" s="21" t="n"/>
      <c r="E29" s="21" t="n"/>
      <c r="F29" s="21" t="n"/>
      <c r="G29" s="20" t="n"/>
      <c r="H29" s="23" t="inlineStr">
        <is>
          <t>BALANCE:</t>
        </is>
      </c>
      <c r="I29" s="22" t="inlineStr">
        <is>
          <t>6660.46</t>
        </is>
      </c>
      <c r="J29" s="21" t="n"/>
      <c r="K29" s="20" t="n"/>
    </row>
    <row r="30">
      <c r="A30" s="19" t="n"/>
      <c r="B30" s="19" t="n"/>
      <c r="C30" s="19" t="n"/>
      <c r="D30" s="19" t="n"/>
      <c r="E30" s="19" t="n"/>
      <c r="F30" s="19" t="n"/>
      <c r="G30" s="19" t="n"/>
      <c r="H30" s="18" t="n"/>
      <c r="I30" s="17" t="n"/>
      <c r="J30" s="17" t="n"/>
      <c r="K30" s="17" t="n"/>
    </row>
    <row r="31">
      <c r="A31" s="59" t="n"/>
      <c r="B31" s="59" t="n"/>
      <c r="C31" s="59" t="n"/>
      <c r="D31" s="59" t="n"/>
      <c r="E31" s="59" t="n"/>
      <c r="F31" s="61" t="n"/>
      <c r="G31" s="59" t="n"/>
      <c r="H31" s="16" t="inlineStr">
        <is>
          <t>FOR AND ON BEHALF OF SELLER</t>
        </is>
      </c>
    </row>
    <row r="32">
      <c r="A32" s="59" t="n"/>
      <c r="B32" s="59" t="n"/>
      <c r="C32" s="59" t="n"/>
      <c r="D32" s="59" t="n"/>
      <c r="E32" s="59" t="n"/>
      <c r="F32" s="61" t="n"/>
      <c r="G32" s="59" t="n"/>
      <c r="H32" s="15" t="inlineStr">
        <is>
          <t>A PLUS MINERAL MATERIAL CORPORATION</t>
        </is>
      </c>
    </row>
    <row r="33">
      <c r="A33" s="59" t="n"/>
      <c r="B33" s="59" t="n"/>
      <c r="C33" s="59" t="n"/>
      <c r="D33" s="59" t="n"/>
      <c r="E33" s="59" t="n"/>
      <c r="F33" s="61" t="n"/>
      <c r="G33" s="59" t="n"/>
      <c r="H33" s="15" t="n"/>
      <c r="I33" s="15" t="n"/>
      <c r="J33" s="15" t="n"/>
      <c r="K33" s="15" t="n"/>
    </row>
    <row r="34">
      <c r="A34" s="59" t="n"/>
      <c r="B34" s="59" t="n"/>
      <c r="C34" s="59" t="n"/>
      <c r="D34" s="59" t="n"/>
      <c r="E34" s="59" t="n"/>
      <c r="F34" s="61" t="n"/>
      <c r="G34" s="59" t="n"/>
      <c r="H34" s="15" t="n"/>
      <c r="I34" s="15" t="n"/>
      <c r="J34" s="15" t="n"/>
      <c r="K34" s="15" t="n"/>
    </row>
    <row r="35">
      <c r="A35" s="59" t="n"/>
      <c r="B35" s="59" t="n"/>
      <c r="C35" s="59" t="n"/>
      <c r="D35" s="59" t="n"/>
      <c r="E35" s="59" t="n"/>
      <c r="F35" s="61" t="n"/>
      <c r="G35" s="59" t="n"/>
      <c r="H35" s="15" t="n"/>
      <c r="I35" s="15" t="n"/>
      <c r="J35" s="15" t="n"/>
      <c r="K35" s="15" t="n"/>
    </row>
    <row r="36">
      <c r="A36" s="59" t="n"/>
      <c r="B36" s="59" t="n"/>
      <c r="C36" s="59" t="n"/>
      <c r="D36" s="59" t="n"/>
      <c r="E36" s="59" t="n"/>
      <c r="F36" s="61" t="n"/>
      <c r="G36" s="59" t="n"/>
      <c r="H36" s="15" t="n"/>
      <c r="I36" s="15" t="n"/>
      <c r="J36" s="15" t="n"/>
      <c r="K36" s="15" t="n"/>
    </row>
    <row r="37">
      <c r="A37" s="59" t="n"/>
      <c r="B37" s="59" t="n"/>
      <c r="C37" s="59" t="n"/>
      <c r="D37" s="59" t="n"/>
      <c r="E37" s="59" t="n"/>
      <c r="F37" s="61" t="n"/>
      <c r="G37" s="59" t="n"/>
      <c r="H37" s="15" t="n"/>
      <c r="I37" s="15" t="n"/>
      <c r="J37" s="15" t="n"/>
      <c r="K37" s="15" t="n"/>
    </row>
    <row r="38">
      <c r="A38" s="59" t="n"/>
      <c r="B38" s="59" t="n"/>
      <c r="C38" s="59" t="n"/>
      <c r="D38" s="59" t="n"/>
      <c r="E38" s="59" t="n"/>
      <c r="F38" s="61" t="n"/>
      <c r="G38" s="59" t="n"/>
      <c r="H38" s="15" t="n"/>
      <c r="I38" s="15" t="n"/>
      <c r="J38" s="15" t="n"/>
      <c r="K38" s="15" t="n"/>
    </row>
    <row r="39">
      <c r="A39" s="59" t="n"/>
      <c r="B39" s="59" t="n"/>
      <c r="C39" s="59" t="n"/>
      <c r="D39" s="59" t="n"/>
      <c r="E39" s="59" t="n"/>
      <c r="F39" s="61" t="n"/>
      <c r="G39" s="59" t="n"/>
      <c r="H39" s="15" t="n"/>
      <c r="I39" s="15" t="n"/>
      <c r="J39" s="15" t="n"/>
      <c r="K39" s="15" t="n"/>
    </row>
    <row r="40">
      <c r="A40" s="59" t="n"/>
      <c r="B40" s="59" t="n"/>
      <c r="C40" s="59" t="n"/>
      <c r="D40" s="59" t="n"/>
      <c r="E40" s="59" t="n"/>
      <c r="F40" s="61" t="n"/>
      <c r="G40" s="59" t="n"/>
      <c r="H40" s="15" t="n"/>
      <c r="I40" s="15" t="n"/>
      <c r="J40" s="15" t="n"/>
      <c r="K40" s="15" t="n"/>
    </row>
    <row r="41" ht="15.75" customHeight="1">
      <c r="A41" s="59" t="n"/>
      <c r="B41" s="59" t="n"/>
      <c r="C41" s="59" t="n"/>
      <c r="D41" s="59" t="n"/>
      <c r="E41" s="14" t="n"/>
      <c r="F41" s="13" t="n"/>
      <c r="G41" s="59" t="n"/>
      <c r="H41" s="59" t="n"/>
      <c r="I41" s="60" t="n"/>
      <c r="J41" s="59" t="n"/>
      <c r="K41" s="15" t="n"/>
    </row>
    <row r="42" ht="15.75" customHeight="1">
      <c r="A42" s="59" t="n"/>
      <c r="B42" s="59" t="n"/>
      <c r="C42" s="59" t="n"/>
      <c r="D42" s="59" t="n"/>
      <c r="E42" s="59" t="n"/>
      <c r="F42" s="61" t="n"/>
      <c r="G42" s="59" t="n"/>
      <c r="H42" s="59" t="n"/>
      <c r="I42" s="60" t="n"/>
      <c r="J42" s="59" t="n"/>
      <c r="K42" s="15" t="n"/>
    </row>
    <row r="43" ht="15.75" customHeight="1">
      <c r="A43" s="59" t="n"/>
      <c r="B43" s="59" t="n"/>
      <c r="C43" s="59" t="n"/>
      <c r="D43" s="59" t="n"/>
      <c r="E43" s="59" t="n"/>
      <c r="F43" s="61" t="n"/>
      <c r="G43" s="59" t="n"/>
      <c r="H43" s="10" t="inlineStr">
        <is>
          <t>TRAN ANH HOANG</t>
        </is>
      </c>
    </row>
    <row r="44">
      <c r="A44" s="59" t="n"/>
      <c r="B44" s="59" t="n"/>
      <c r="C44" s="59" t="n"/>
      <c r="D44" s="59" t="n"/>
      <c r="E44" s="59" t="n"/>
      <c r="F44" s="61" t="n"/>
      <c r="G44" s="59" t="n"/>
      <c r="H44" s="10" t="n"/>
      <c r="I44" s="10" t="n"/>
      <c r="J44" s="10" t="n"/>
      <c r="K44" s="10" t="n"/>
    </row>
    <row r="45">
      <c r="A45" s="59" t="n"/>
      <c r="B45" s="59" t="n"/>
      <c r="C45" s="59" t="n"/>
      <c r="D45" s="59" t="n"/>
      <c r="E45" s="59" t="n"/>
      <c r="F45" s="61" t="n"/>
      <c r="G45" s="59" t="n"/>
      <c r="H45" s="10" t="n"/>
      <c r="I45" s="10" t="n"/>
      <c r="J45" s="10" t="n"/>
      <c r="K45" s="10" t="n"/>
    </row>
    <row r="46">
      <c r="A46" s="6" t="inlineStr">
        <is>
          <t xml:space="preserve">The Exporter: A PLUS MINERAL MATERIAL CORPORATION. VNREX0306318488VCCI10L01 of the products covered by this documents declares that, except where otherwise </t>
        </is>
      </c>
      <c r="B46" s="3" t="n"/>
      <c r="C46" s="5" t="n"/>
      <c r="D46" s="5" t="n"/>
      <c r="E46" s="5" t="n"/>
      <c r="F46" s="5" t="n"/>
      <c r="G46" s="4" t="n"/>
      <c r="H46" s="3" t="n"/>
      <c r="I46" s="3" t="n"/>
      <c r="J46" s="2" t="n"/>
      <c r="K46" s="1" t="n"/>
    </row>
    <row r="47">
      <c r="A47" s="6" t="inlineStr">
        <is>
          <t>clearly indicated, these products are of Vietnam origin according to the rules of origin of the Generalized System of Preferances of the European Union and  that the origin</t>
        </is>
      </c>
      <c r="B47" s="3" t="n"/>
      <c r="C47" s="5" t="n"/>
      <c r="D47" s="5" t="n"/>
      <c r="E47" s="5" t="n"/>
      <c r="F47" s="5" t="n"/>
      <c r="G47" s="4" t="n"/>
      <c r="H47" s="3" t="n"/>
      <c r="I47" s="3" t="n"/>
      <c r="J47" s="2" t="n"/>
      <c r="K47" s="1" t="n"/>
    </row>
  </sheetData>
  <mergeCells count="52">
    <mergeCell ref="C16:K16"/>
    <mergeCell ref="I6:J6"/>
    <mergeCell ref="A15:B15"/>
    <mergeCell ref="I28:K28"/>
    <mergeCell ref="I9:K10"/>
    <mergeCell ref="I12:K12"/>
    <mergeCell ref="A29:G29"/>
    <mergeCell ref="C12:H12"/>
    <mergeCell ref="A6:B6"/>
    <mergeCell ref="H13:K15"/>
    <mergeCell ref="C11:H11"/>
    <mergeCell ref="I24:K24"/>
    <mergeCell ref="A7:B7"/>
    <mergeCell ref="I7:J7"/>
    <mergeCell ref="G10:H10"/>
    <mergeCell ref="F20:G20"/>
    <mergeCell ref="C8:H8"/>
    <mergeCell ref="C17:K17"/>
    <mergeCell ref="H43:K43"/>
    <mergeCell ref="B19:B20"/>
    <mergeCell ref="I29:K29"/>
    <mergeCell ref="C7:H7"/>
    <mergeCell ref="C19:E19"/>
    <mergeCell ref="A3:K3"/>
    <mergeCell ref="H31:K31"/>
    <mergeCell ref="A24:G28"/>
    <mergeCell ref="A2:K2"/>
    <mergeCell ref="C18:K18"/>
    <mergeCell ref="A14:B14"/>
    <mergeCell ref="I5:J5"/>
    <mergeCell ref="I8:J8"/>
    <mergeCell ref="C10:F10"/>
    <mergeCell ref="I19:I20"/>
    <mergeCell ref="A8:B8"/>
    <mergeCell ref="K19:K20"/>
    <mergeCell ref="A19:A20"/>
    <mergeCell ref="I11:K11"/>
    <mergeCell ref="C9:F9"/>
    <mergeCell ref="C6:H6"/>
    <mergeCell ref="A4:K4"/>
    <mergeCell ref="F19:H19"/>
    <mergeCell ref="I27:K27"/>
    <mergeCell ref="C5:H5"/>
    <mergeCell ref="A10:B10"/>
    <mergeCell ref="A13:B13"/>
    <mergeCell ref="I26:K26"/>
    <mergeCell ref="H32:K32"/>
    <mergeCell ref="C13:G15"/>
    <mergeCell ref="A9:B9"/>
    <mergeCell ref="G9:H9"/>
    <mergeCell ref="J19:J20"/>
    <mergeCell ref="I25:K25"/>
  </mergeCells>
  <pageMargins left="0.7" right="0.7" top="0.75" bottom="0.75" header="0.3" footer="0.3"/>
  <pageSetup orientation="portrait" paperSize="9" scale="5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ASUS</dc:creator>
  <dcterms:created xmlns:dcterms="http://purl.org/dc/terms/" xmlns:xsi="http://www.w3.org/2001/XMLSchema-instance" xsi:type="dcterms:W3CDTF">2015-06-05T18:17:20Z</dcterms:created>
  <dcterms:modified xmlns:dcterms="http://purl.org/dc/terms/" xmlns:xsi="http://www.w3.org/2001/XMLSchema-instance" xsi:type="dcterms:W3CDTF">2025-11-25T10:07:37Z</dcterms:modified>
  <cp:lastModifiedBy>Nguyễn Hữu Vĩnh Nghi</cp:lastModifiedBy>
  <cp:lastPrinted>2025-11-25T09:59:59Z</cp:lastPrinted>
</cp:coreProperties>
</file>