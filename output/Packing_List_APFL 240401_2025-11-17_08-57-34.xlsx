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PackingList" sheetId="1" state="visible" r:id="rId1"/>
  </sheets>
  <definedNames>
    <definedName name="_xlnm.Print_Area" localSheetId="0">'PackingList'!$A$1:$M$51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;[Red]0.00"/>
    <numFmt numFmtId="165" formatCode="_(* #,##0_);_(* \(#,##0\);_(* &quot;-&quot;??_);_(@_)"/>
    <numFmt numFmtId="166" formatCode="#,##0.0"/>
    <numFmt numFmtId="167" formatCode="0.0"/>
    <numFmt numFmtId="168" formatCode="0\ &quot;pcs/crate&quot;"/>
    <numFmt numFmtId="169" formatCode="[$-409]mmmm\ d\,\ yyyy;@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b val="1"/>
      <i val="1"/>
      <sz val="10"/>
    </font>
    <font>
      <name val="Arial"/>
      <family val="2"/>
      <i val="1"/>
      <sz val="10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sz val="10"/>
    </font>
    <font>
      <name val="Arial"/>
      <family val="2"/>
      <b val="1"/>
      <color indexed="12"/>
      <sz val="11"/>
    </font>
    <font>
      <name val="Arial"/>
      <family val="2"/>
      <b val="1"/>
      <sz val="10"/>
      <u val="single"/>
    </font>
    <font>
      <name val="Arial"/>
      <family val="2"/>
      <b val="1"/>
      <sz val="20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indexed="6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0" fontId="2" fillId="0" borderId="0"/>
    <xf numFmtId="43" fontId="2" fillId="0" borderId="0"/>
    <xf numFmtId="43" fontId="3" fillId="0" borderId="0"/>
    <xf numFmtId="0" fontId="1" fillId="0" borderId="0"/>
  </cellStyleXfs>
  <cellXfs count="127">
    <xf numFmtId="0" fontId="0" fillId="0" borderId="0" pivotButton="0" quotePrefix="0" xfId="0"/>
    <xf numFmtId="0" fontId="3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  <xf numFmtId="165" fontId="3" fillId="0" borderId="0" applyAlignment="1" pivotButton="0" quotePrefix="0" xfId="2">
      <alignment horizontal="right"/>
    </xf>
    <xf numFmtId="0" fontId="4" fillId="0" borderId="0" pivotButton="0" quotePrefix="0" xfId="1"/>
    <xf numFmtId="0" fontId="5" fillId="0" borderId="0" applyAlignment="1" pivotButton="0" quotePrefix="0" xfId="1">
      <alignment horizontal="center" vertical="center"/>
    </xf>
    <xf numFmtId="165" fontId="5" fillId="0" borderId="0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164" fontId="5" fillId="0" borderId="0" applyAlignment="1" pivotButton="0" quotePrefix="0" xfId="1">
      <alignment horizontal="left"/>
    </xf>
    <xf numFmtId="165" fontId="6" fillId="0" borderId="0" applyAlignment="1" pivotButton="0" quotePrefix="0" xfId="3">
      <alignment horizontal="right"/>
    </xf>
    <xf numFmtId="0" fontId="5" fillId="0" borderId="0" pivotButton="0" quotePrefix="0" xfId="1"/>
    <xf numFmtId="0" fontId="7" fillId="0" borderId="0" applyAlignment="1" pivotButton="0" quotePrefix="0" xfId="1">
      <alignment horizontal="left"/>
    </xf>
    <xf numFmtId="0" fontId="8" fillId="0" borderId="0" applyAlignment="1" pivotButton="0" quotePrefix="0" xfId="1">
      <alignment horizontal="center"/>
    </xf>
    <xf numFmtId="0" fontId="9" fillId="0" borderId="0" pivotButton="0" quotePrefix="0" xfId="1"/>
    <xf numFmtId="165" fontId="9" fillId="0" borderId="0" applyAlignment="1" pivotButton="0" quotePrefix="0" xfId="2">
      <alignment horizontal="right"/>
    </xf>
    <xf numFmtId="0" fontId="9" fillId="0" borderId="0" applyAlignment="1" pivotButton="0" quotePrefix="0" xfId="1">
      <alignment horizontal="center" vertical="center" wrapText="1"/>
    </xf>
    <xf numFmtId="4" fontId="9" fillId="0" borderId="0" applyAlignment="1" pivotButton="0" quotePrefix="0" xfId="1">
      <alignment horizontal="center" vertical="center"/>
    </xf>
    <xf numFmtId="166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4" fontId="9" fillId="0" borderId="2" applyAlignment="1" pivotButton="0" quotePrefix="0" xfId="1">
      <alignment horizontal="center" vertical="center"/>
    </xf>
    <xf numFmtId="166" fontId="9" fillId="0" borderId="2" applyAlignment="1" pivotButton="0" quotePrefix="0" xfId="1">
      <alignment horizontal="center" vertical="center"/>
    </xf>
    <xf numFmtId="164" fontId="9" fillId="0" borderId="2" applyAlignment="1" pivotButton="0" quotePrefix="0" xfId="1">
      <alignment horizontal="center" vertical="center"/>
    </xf>
    <xf numFmtId="1" fontId="10" fillId="0" borderId="6" applyAlignment="1" pivotButton="0" quotePrefix="0" xfId="1">
      <alignment horizontal="center" vertical="center"/>
    </xf>
    <xf numFmtId="3" fontId="10" fillId="0" borderId="7" applyAlignment="1" pivotButton="0" quotePrefix="0" xfId="1">
      <alignment horizontal="center" vertical="center"/>
    </xf>
    <xf numFmtId="167" fontId="10" fillId="0" borderId="7" applyAlignment="1" pivotButton="0" quotePrefix="0" xfId="1">
      <alignment horizontal="center" vertical="center"/>
    </xf>
    <xf numFmtId="1" fontId="10" fillId="0" borderId="7" applyAlignment="1" pivotButton="0" quotePrefix="0" xfId="1">
      <alignment horizontal="center" vertical="center"/>
    </xf>
    <xf numFmtId="3" fontId="9" fillId="0" borderId="11" applyAlignment="1" pivotButton="0" quotePrefix="0" xfId="1">
      <alignment vertical="center"/>
    </xf>
    <xf numFmtId="3" fontId="9" fillId="0" borderId="11" applyAlignment="1" pivotButton="0" quotePrefix="0" xfId="1">
      <alignment vertical="center" wrapText="1"/>
    </xf>
    <xf numFmtId="166" fontId="9" fillId="0" borderId="11" applyAlignment="1" pivotButton="0" quotePrefix="0" xfId="1">
      <alignment vertical="center"/>
    </xf>
    <xf numFmtId="168" fontId="11" fillId="0" borderId="11" applyAlignment="1" pivotButton="0" quotePrefix="0" xfId="1">
      <alignment horizontal="center" vertical="center" wrapText="1"/>
    </xf>
    <xf numFmtId="3" fontId="10" fillId="0" borderId="11" applyAlignment="1" pivotButton="0" quotePrefix="0" xfId="1">
      <alignment horizontal="center" vertical="center" wrapText="1"/>
    </xf>
    <xf numFmtId="165" fontId="9" fillId="0" borderId="11" applyAlignment="1" pivotButton="0" quotePrefix="0" xfId="3">
      <alignment horizontal="center" vertical="center"/>
    </xf>
    <xf numFmtId="43" fontId="10" fillId="0" borderId="11" applyAlignment="1" pivotButton="0" quotePrefix="0" xfId="2">
      <alignment horizontal="center" vertical="center"/>
    </xf>
    <xf numFmtId="0" fontId="9" fillId="0" borderId="13" applyAlignment="1" pivotButton="0" quotePrefix="0" xfId="1">
      <alignment horizontal="center" vertical="center" wrapText="1"/>
    </xf>
    <xf numFmtId="0" fontId="14" fillId="2" borderId="17" applyAlignment="1" pivotButton="0" quotePrefix="0" xfId="1">
      <alignment vertical="center" wrapText="1"/>
    </xf>
    <xf numFmtId="164" fontId="15" fillId="2" borderId="17" applyAlignment="1" pivotButton="0" quotePrefix="0" xfId="1">
      <alignment horizontal="center" vertical="center"/>
    </xf>
    <xf numFmtId="0" fontId="15" fillId="2" borderId="17" applyAlignment="1" pivotButton="0" quotePrefix="0" xfId="1">
      <alignment horizontal="center" vertical="center"/>
    </xf>
    <xf numFmtId="169" fontId="10" fillId="0" borderId="21" applyAlignment="1" pivotButton="0" quotePrefix="0" xfId="1">
      <alignment horizontal="center" vertical="center"/>
    </xf>
    <xf numFmtId="169" fontId="10" fillId="0" borderId="4" applyAlignment="1" pivotButton="0" quotePrefix="0" xfId="1">
      <alignment horizontal="left" vertical="center"/>
    </xf>
    <xf numFmtId="169" fontId="10" fillId="0" borderId="22" applyAlignment="1" pivotButton="0" quotePrefix="0" xfId="1">
      <alignment horizontal="left" vertical="center"/>
    </xf>
    <xf numFmtId="164" fontId="10" fillId="0" borderId="3" applyAlignment="1" pivotButton="0" quotePrefix="0" xfId="1">
      <alignment horizontal="left" vertical="center"/>
    </xf>
    <xf numFmtId="165" fontId="10" fillId="0" borderId="4" applyAlignment="1" pivotButton="0" quotePrefix="0" xfId="2">
      <alignment horizontal="left" vertical="center"/>
    </xf>
    <xf numFmtId="0" fontId="3" fillId="0" borderId="8" applyAlignment="1" pivotButton="0" quotePrefix="0" xfId="1">
      <alignment vertical="center"/>
    </xf>
    <xf numFmtId="0" fontId="3" fillId="0" borderId="9" applyAlignment="1" pivotButton="0" quotePrefix="0" xfId="1">
      <alignment vertical="center"/>
    </xf>
    <xf numFmtId="169" fontId="17" fillId="0" borderId="6" applyAlignment="1" pivotButton="0" quotePrefix="0" xfId="1">
      <alignment horizontal="center" vertical="center" wrapText="1"/>
    </xf>
    <xf numFmtId="0" fontId="10" fillId="0" borderId="16" applyAlignment="1" pivotButton="0" quotePrefix="0" xfId="1">
      <alignment horizontal="center" vertical="center" wrapText="1"/>
    </xf>
    <xf numFmtId="0" fontId="20" fillId="0" borderId="0" pivotButton="0" quotePrefix="0" xfId="4"/>
    <xf numFmtId="0" fontId="22" fillId="0" borderId="0" pivotButton="0" quotePrefix="0" xfId="1"/>
    <xf numFmtId="0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1">
      <alignment horizontal="center"/>
    </xf>
    <xf numFmtId="164" fontId="22" fillId="0" borderId="0" applyAlignment="1" pivotButton="0" quotePrefix="0" xfId="1">
      <alignment horizontal="center"/>
    </xf>
    <xf numFmtId="165" fontId="22" fillId="0" borderId="0" applyAlignment="1" pivotButton="0" quotePrefix="0" xfId="2">
      <alignment horizontal="right"/>
    </xf>
    <xf numFmtId="0" fontId="8" fillId="0" borderId="0" pivotButton="0" quotePrefix="0" xfId="1"/>
    <xf numFmtId="0" fontId="12" fillId="0" borderId="11" applyAlignment="1" pivotButton="0" quotePrefix="0" xfId="1">
      <alignment horizontal="center" vertical="center" wrapText="1"/>
    </xf>
    <xf numFmtId="0" fontId="13" fillId="0" borderId="11" applyAlignment="1" pivotButton="0" quotePrefix="0" xfId="1">
      <alignment vertical="center" wrapText="1"/>
    </xf>
    <xf numFmtId="0" fontId="12" fillId="0" borderId="11" applyAlignment="1" pivotButton="0" quotePrefix="0" xfId="1">
      <alignment horizontal="center" vertical="center"/>
    </xf>
    <xf numFmtId="0" fontId="9" fillId="0" borderId="11" applyAlignment="1" pivotButton="0" quotePrefix="0" xfId="1">
      <alignment vertical="center" wrapText="1"/>
    </xf>
    <xf numFmtId="3" fontId="10" fillId="0" borderId="7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top" wrapText="1"/>
    </xf>
    <xf numFmtId="0" fontId="9" fillId="0" borderId="0" pivotButton="0" quotePrefix="0" xfId="1"/>
    <xf numFmtId="0" fontId="21" fillId="0" borderId="0" applyAlignment="1" pivotButton="0" quotePrefix="0" xfId="4">
      <alignment horizontal="left" vertical="top" wrapText="1"/>
    </xf>
    <xf numFmtId="0" fontId="20" fillId="0" borderId="0" pivotButton="0" quotePrefix="0" xfId="4"/>
    <xf numFmtId="0" fontId="19" fillId="0" borderId="0" applyAlignment="1" pivotButton="0" quotePrefix="0" xfId="1">
      <alignment horizontal="center" vertical="center"/>
    </xf>
    <xf numFmtId="0" fontId="3" fillId="0" borderId="0" pivotButton="0" quotePrefix="0" xfId="1"/>
    <xf numFmtId="165" fontId="3" fillId="0" borderId="0" applyAlignment="1" pivotButton="0" quotePrefix="0" xfId="2">
      <alignment horizontal="right"/>
    </xf>
    <xf numFmtId="164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 vertical="center"/>
    </xf>
    <xf numFmtId="0" fontId="18" fillId="0" borderId="35" applyAlignment="1" pivotButton="0" quotePrefix="0" xfId="1">
      <alignment horizontal="left" vertical="center"/>
    </xf>
    <xf numFmtId="0" fontId="0" fillId="0" borderId="32" pivotButton="0" quotePrefix="0" xfId="0"/>
    <xf numFmtId="0" fontId="9" fillId="0" borderId="15" applyAlignment="1" pivotButton="0" quotePrefix="0" xfId="1">
      <alignment horizontal="left" vertical="center" wrapText="1"/>
    </xf>
    <xf numFmtId="0" fontId="0" fillId="0" borderId="34" pivotButton="0" quotePrefix="0" xfId="0"/>
    <xf numFmtId="0" fontId="10" fillId="0" borderId="33" applyAlignment="1" pivotButton="0" quotePrefix="0" xfId="1">
      <alignment horizontal="left" vertical="center" wrapText="1"/>
    </xf>
    <xf numFmtId="0" fontId="16" fillId="0" borderId="36" applyAlignment="1" pivotButton="0" quotePrefix="0" xfId="1">
      <alignment horizontal="left" vertical="center" wrapText="1"/>
    </xf>
    <xf numFmtId="0" fontId="0" fillId="0" borderId="8" pivotButton="0" quotePrefix="0" xfId="0"/>
    <xf numFmtId="15" fontId="17" fillId="0" borderId="7" applyAlignment="1" pivotButton="0" quotePrefix="0" xfId="1">
      <alignment horizontal="left" vertical="center" wrapText="1"/>
    </xf>
    <xf numFmtId="0" fontId="0" fillId="0" borderId="29" pivotButton="0" quotePrefix="0" xfId="0"/>
    <xf numFmtId="0" fontId="0" fillId="0" borderId="31" pivotButton="0" quotePrefix="0" xfId="0"/>
    <xf numFmtId="169" fontId="10" fillId="0" borderId="30" applyAlignment="1" pivotButton="0" quotePrefix="0" xfId="1">
      <alignment horizontal="left" vertical="center" wrapText="1"/>
    </xf>
    <xf numFmtId="0" fontId="3" fillId="0" borderId="36" applyAlignment="1" pivotButton="0" quotePrefix="0" xfId="1">
      <alignment horizontal="left" vertical="top" wrapText="1"/>
    </xf>
    <xf numFmtId="0" fontId="9" fillId="0" borderId="12" applyAlignment="1" pivotButton="0" quotePrefix="0" xfId="1">
      <alignment horizontal="left" vertical="center" wrapText="1"/>
    </xf>
    <xf numFmtId="0" fontId="9" fillId="0" borderId="26" applyAlignment="1" pivotButton="0" quotePrefix="0" xfId="1">
      <alignment horizontal="left" vertical="center" wrapText="1"/>
    </xf>
    <xf numFmtId="0" fontId="0" fillId="0" borderId="25" pivotButton="0" quotePrefix="0" xfId="0"/>
    <xf numFmtId="0" fontId="3" fillId="0" borderId="36" applyAlignment="1" pivotButton="0" quotePrefix="0" xfId="1">
      <alignment horizontal="left" vertical="center" wrapText="1"/>
    </xf>
    <xf numFmtId="0" fontId="17" fillId="0" borderId="12" applyAlignment="1" pivotButton="0" quotePrefix="0" xfId="1">
      <alignment horizontal="left" vertical="center" wrapText="1"/>
    </xf>
    <xf numFmtId="0" fontId="17" fillId="0" borderId="30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left" vertical="center"/>
    </xf>
    <xf numFmtId="0" fontId="0" fillId="0" borderId="27" pivotButton="0" quotePrefix="0" xfId="0"/>
    <xf numFmtId="0" fontId="9" fillId="0" borderId="37" applyAlignment="1" pivotButton="0" quotePrefix="0" xfId="1">
      <alignment horizontal="left" vertical="center" wrapText="1"/>
    </xf>
    <xf numFmtId="0" fontId="0" fillId="0" borderId="24" pivotButton="0" quotePrefix="0" xfId="0"/>
    <xf numFmtId="0" fontId="0" fillId="0" borderId="30" pivotButton="0" quotePrefix="0" xfId="0"/>
    <xf numFmtId="0" fontId="0" fillId="0" borderId="28" pivotButton="0" quotePrefix="0" xfId="0"/>
    <xf numFmtId="0" fontId="9" fillId="0" borderId="38" applyAlignment="1" pivotButton="0" quotePrefix="0" xfId="1">
      <alignment horizontal="left" vertical="center"/>
    </xf>
    <xf numFmtId="0" fontId="17" fillId="0" borderId="7" applyAlignment="1" pivotButton="0" quotePrefix="0" xfId="1">
      <alignment horizontal="left" vertical="center" wrapText="1"/>
    </xf>
    <xf numFmtId="0" fontId="17" fillId="0" borderId="7" applyAlignment="1" pivotButton="0" quotePrefix="0" xfId="1">
      <alignment horizontal="center" vertical="center" wrapText="1"/>
    </xf>
    <xf numFmtId="0" fontId="14" fillId="2" borderId="14" applyAlignment="1" pivotButton="0" quotePrefix="0" xfId="1">
      <alignment horizontal="center" vertical="center" wrapText="1"/>
    </xf>
    <xf numFmtId="0" fontId="0" fillId="0" borderId="12" pivotButton="0" quotePrefix="0" xfId="0"/>
    <xf numFmtId="0" fontId="16" fillId="0" borderId="18" applyAlignment="1" pivotButton="0" quotePrefix="0" xfId="1">
      <alignment horizontal="left" vertical="center" wrapText="1"/>
    </xf>
    <xf numFmtId="0" fontId="0" fillId="0" borderId="9" pivotButton="0" quotePrefix="0" xfId="0"/>
    <xf numFmtId="0" fontId="9" fillId="0" borderId="16" applyAlignment="1" pivotButton="0" quotePrefix="0" xfId="1">
      <alignment horizontal="left" vertical="center"/>
    </xf>
    <xf numFmtId="169" fontId="10" fillId="0" borderId="12" applyAlignment="1" pivotButton="0" quotePrefix="0" xfId="1">
      <alignment horizontal="left" vertical="center"/>
    </xf>
    <xf numFmtId="169" fontId="10" fillId="0" borderId="10" applyAlignment="1" pivotButton="0" quotePrefix="0" xfId="1">
      <alignment horizontal="left" vertical="center"/>
    </xf>
    <xf numFmtId="0" fontId="0" fillId="0" borderId="23" pivotButton="0" quotePrefix="0" xfId="0"/>
    <xf numFmtId="0" fontId="9" fillId="0" borderId="5" applyAlignment="1" pivotButton="0" quotePrefix="0" xfId="1">
      <alignment horizontal="left" vertical="center"/>
    </xf>
    <xf numFmtId="0" fontId="0" fillId="0" borderId="4" pivotButton="0" quotePrefix="0" xfId="0"/>
    <xf numFmtId="0" fontId="14" fillId="2" borderId="19" applyAlignment="1" pivotButton="0" quotePrefix="0" xfId="1">
      <alignment horizontal="center" vertical="center" wrapText="1"/>
    </xf>
    <xf numFmtId="0" fontId="0" fillId="0" borderId="10" pivotButton="0" quotePrefix="0" xfId="0"/>
    <xf numFmtId="0" fontId="10" fillId="0" borderId="39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14" fillId="2" borderId="20" applyAlignment="1" pivotButton="0" quotePrefix="0" xfId="1">
      <alignment horizontal="center" vertical="center" wrapText="1"/>
    </xf>
    <xf numFmtId="0" fontId="0" fillId="0" borderId="36" pivotButton="0" quotePrefix="0" xfId="0"/>
    <xf numFmtId="0" fontId="14" fillId="2" borderId="14" applyAlignment="1" pivotButton="0" quotePrefix="0" xfId="1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15" fillId="2" borderId="17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0" fillId="0" borderId="38" pivotButton="0" quotePrefix="0" xfId="0"/>
    <xf numFmtId="0" fontId="0" fillId="0" borderId="7" pivotButton="0" quotePrefix="0" xfId="0"/>
    <xf numFmtId="0" fontId="0" fillId="0" borderId="6" pivotButton="0" quotePrefix="0" xfId="0"/>
  </cellXfs>
  <cellStyles count="5">
    <cellStyle name="Normal" xfId="0" builtinId="0"/>
    <cellStyle name="Normal 2" xfId="1"/>
    <cellStyle name="Comma 2" xfId="2"/>
    <cellStyle name="Comma 2 2" xfId="3"/>
    <cellStyle name="Normal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3"/>
  <sheetViews>
    <sheetView tabSelected="1" zoomScale="115" zoomScaleNormal="100" zoomScaleSheetLayoutView="100" workbookViewId="0">
      <selection activeCell="I10" sqref="I10:M11"/>
    </sheetView>
  </sheetViews>
  <sheetFormatPr baseColWidth="8" defaultRowHeight="12.75"/>
  <cols>
    <col width="11.28515625" customWidth="1" style="68" min="1" max="1"/>
    <col width="30.85546875" customWidth="1" style="68" min="2" max="2"/>
    <col width="7.140625" customWidth="1" style="68" min="3" max="5"/>
    <col width="8.7109375" bestFit="1" customWidth="1" style="69" min="6" max="6"/>
    <col width="8" customWidth="1" style="69" min="7" max="7"/>
    <col width="10.140625" customWidth="1" style="70" min="8" max="8"/>
    <col width="14.5703125" customWidth="1" style="68" min="9" max="9"/>
    <col width="8.28515625" customWidth="1" style="68" min="10" max="10"/>
    <col width="15" customWidth="1" style="68" min="11" max="11"/>
    <col hidden="1" width="12.42578125" customWidth="1" style="71" min="12" max="12"/>
    <col width="23.7109375" customWidth="1" style="72" min="13" max="13"/>
    <col width="9.140625" customWidth="1" style="68" min="14" max="14"/>
    <col width="9.140625" customWidth="1" style="68" min="15" max="16384"/>
  </cols>
  <sheetData>
    <row r="1" ht="19.5" customFormat="1" customHeight="1" s="52">
      <c r="A1" s="57" t="inlineStr">
        <is>
          <t>A PLUS MINERAL MATERIAL CORPORATION</t>
        </is>
      </c>
      <c r="B1" s="57" t="n"/>
      <c r="C1" s="57" t="n"/>
      <c r="D1" s="57" t="n"/>
      <c r="F1" s="56" t="n"/>
      <c r="G1" s="56" t="n"/>
      <c r="H1" s="55" t="n"/>
      <c r="L1" s="54" t="n"/>
      <c r="M1" s="53" t="n"/>
    </row>
    <row r="2" ht="30.75" customFormat="1" customHeight="1" s="64">
      <c r="A2" s="63" t="inlineStr">
        <is>
          <t>1A, 4th Floor, Broadway B, 102 Nguyen Luong Bang Street, District 7, Ho Chi Minh City, Vietnam.
Tel: 84.28.5412.2189 ; Fax: 84.28.5413.6218</t>
        </is>
      </c>
    </row>
    <row r="3" ht="17.25" customFormat="1" customHeight="1" s="66">
      <c r="A3" s="65" t="inlineStr">
        <is>
          <t>REX NUMBER: VNREX0306318488VCCI10L01 (Date from which the REX authorisation is valid: 15/06/2020)</t>
        </is>
      </c>
    </row>
    <row r="4" ht="40.5" customHeight="1">
      <c r="A4" s="67" t="inlineStr">
        <is>
          <t>PACKING LIST</t>
        </is>
      </c>
    </row>
    <row r="5" ht="14.25" customHeight="1" thickBot="1"/>
    <row r="6" ht="22.5" customFormat="1" customHeight="1" s="64">
      <c r="A6" s="73" t="inlineStr">
        <is>
          <t>BUYER/CUSTOMER:</t>
        </is>
      </c>
      <c r="B6" s="74" t="n"/>
      <c r="C6" s="75" t="inlineStr">
        <is>
          <t xml:space="preserve">PACKING LIST NO: </t>
        </is>
      </c>
      <c r="D6" s="74" t="n"/>
      <c r="E6" s="74" t="n"/>
      <c r="F6" s="74" t="n"/>
      <c r="G6" s="74" t="n"/>
      <c r="H6" s="76" t="n"/>
      <c r="I6" s="77" t="inlineStr">
        <is>
          <t>CLIENT :</t>
        </is>
      </c>
      <c r="J6" s="74" t="n"/>
      <c r="K6" s="74" t="n"/>
      <c r="L6" s="74" t="n"/>
      <c r="M6" s="38" t="inlineStr">
        <is>
          <t>DATE:</t>
        </is>
      </c>
    </row>
    <row r="7" ht="21.75" customFormat="1" customHeight="1" s="64">
      <c r="A7" s="78" t="inlineStr">
        <is>
          <t>APFL GRANIT GMBH</t>
        </is>
      </c>
      <c r="B7" s="79" t="n"/>
      <c r="C7" s="80" t="inlineStr">
        <is>
          <t>APFL 240401</t>
        </is>
      </c>
      <c r="D7" s="81" t="n"/>
      <c r="E7" s="81" t="n"/>
      <c r="F7" s="81" t="n"/>
      <c r="G7" s="81" t="n"/>
      <c r="H7" s="82" t="n"/>
      <c r="I7" s="83" t="n"/>
      <c r="J7" s="81" t="n"/>
      <c r="K7" s="81" t="n"/>
      <c r="L7" s="81" t="n"/>
      <c r="M7" s="49" t="inlineStr">
        <is>
          <t>2024-04-22</t>
        </is>
      </c>
    </row>
    <row r="8" ht="27.75" customFormat="1" customHeight="1" s="64">
      <c r="A8" s="84" t="inlineStr">
        <is>
          <t>LINDENWEG 1
PETERSDORF
94265
Germany</t>
        </is>
      </c>
      <c r="B8" s="79" t="n"/>
      <c r="C8" s="85" t="inlineStr">
        <is>
          <t>PORT OF ORIGIN:</t>
        </is>
      </c>
      <c r="H8" s="79" t="n"/>
      <c r="I8" s="86" t="inlineStr">
        <is>
          <t>FINAL DESTINATION:</t>
        </is>
      </c>
      <c r="J8" s="87" t="n"/>
      <c r="K8" s="87" t="n"/>
      <c r="L8" s="87" t="n"/>
      <c r="M8" s="50" t="inlineStr">
        <is>
          <t>STOCKYARD :</t>
        </is>
      </c>
    </row>
    <row r="9" ht="30.2" customFormat="1" customHeight="1" s="64">
      <c r="A9" s="88" t="inlineStr">
        <is>
          <t xml:space="preserve">Tel: +49(0)9923-80101-12
Fax: </t>
        </is>
      </c>
      <c r="B9" s="79" t="n"/>
      <c r="C9" s="89" t="inlineStr">
        <is>
          <t>Qui Nhon port</t>
        </is>
      </c>
      <c r="H9" s="79" t="n"/>
      <c r="I9" s="90" t="inlineStr">
        <is>
          <t>HAMBURG</t>
        </is>
      </c>
      <c r="J9" s="81" t="n"/>
      <c r="K9" s="81" t="n"/>
      <c r="L9" s="81" t="n"/>
      <c r="M9" s="49" t="inlineStr">
        <is>
          <t>Furth</t>
        </is>
      </c>
    </row>
    <row r="10" ht="33" customFormat="1" customHeight="1" s="64">
      <c r="A10" s="48" t="inlineStr">
        <is>
          <t xml:space="preserve">VAT NO. : </t>
        </is>
      </c>
      <c r="B10" s="47" t="n"/>
      <c r="C10" s="91" t="inlineStr">
        <is>
          <t>OCEAN VESSEL:</t>
        </is>
      </c>
      <c r="D10" s="87" t="n"/>
      <c r="E10" s="87" t="n"/>
      <c r="F10" s="92" t="n"/>
      <c r="G10" s="91" t="inlineStr">
        <is>
          <t>B/L NO. :</t>
        </is>
      </c>
      <c r="H10" s="92" t="n"/>
      <c r="I10" s="93" t="inlineStr">
        <is>
          <t xml:space="preserve">INCOTERMS:
PREPAID: ☐ 
COLLECT: ☑ 
</t>
        </is>
      </c>
      <c r="J10" s="87" t="n"/>
      <c r="K10" s="87" t="n"/>
      <c r="L10" s="87" t="n"/>
      <c r="M10" s="94" t="n"/>
    </row>
    <row r="11" ht="27.75" customFormat="1" customHeight="1" s="64">
      <c r="A11" s="97" t="n"/>
      <c r="B11" s="82" t="n"/>
      <c r="C11" s="98" t="inlineStr">
        <is>
          <t>MSC IDA II V.HZ414A</t>
        </is>
      </c>
      <c r="D11" s="81" t="n"/>
      <c r="E11" s="81" t="n"/>
      <c r="F11" s="82" t="n"/>
      <c r="G11" s="99" t="inlineStr">
        <is>
          <t>MEDUF2486803</t>
        </is>
      </c>
      <c r="H11" s="82" t="n"/>
      <c r="I11" s="95" t="n"/>
      <c r="J11" s="81" t="n"/>
      <c r="K11" s="81" t="n"/>
      <c r="L11" s="81" t="n"/>
      <c r="M11" s="96" t="n"/>
    </row>
    <row r="12" ht="26.45" customFormat="1" customHeight="1" s="64">
      <c r="A12" s="102" t="inlineStr">
        <is>
          <t xml:space="preserve">REMARK NUMBER ON DOCUMENTS: </t>
        </is>
      </c>
      <c r="B12" s="92" t="n"/>
      <c r="C12" s="91" t="inlineStr">
        <is>
          <t>DEPARTURE DATE:</t>
        </is>
      </c>
      <c r="D12" s="87" t="n"/>
      <c r="E12" s="87" t="n"/>
      <c r="F12" s="87" t="n"/>
      <c r="G12" s="87" t="n"/>
      <c r="H12" s="92" t="n"/>
      <c r="I12" s="104" t="inlineStr">
        <is>
          <t>ARRIVAL SCHEDULE:</t>
        </is>
      </c>
      <c r="J12" s="87" t="n"/>
      <c r="K12" s="87" t="n"/>
      <c r="L12" s="87" t="n"/>
      <c r="M12" s="94" t="n"/>
    </row>
    <row r="13" ht="24" customFormat="1" customHeight="1" s="64">
      <c r="A13" s="103" t="n"/>
      <c r="B13" s="79" t="n"/>
      <c r="C13" s="105" t="inlineStr">
        <is>
          <t>2024-04-03</t>
        </is>
      </c>
      <c r="H13" s="79" t="n"/>
      <c r="I13" s="106" t="inlineStr"/>
      <c r="M13" s="107" t="n"/>
    </row>
    <row r="14" ht="13.7" customFormat="1" customHeight="1" s="64" thickBot="1">
      <c r="A14" s="108" t="n"/>
      <c r="B14" s="109" t="n"/>
      <c r="C14" s="44" t="n"/>
      <c r="D14" s="43" t="n"/>
      <c r="E14" s="43" t="n"/>
      <c r="F14" s="46" t="n"/>
      <c r="G14" s="46" t="n"/>
      <c r="H14" s="45" t="n"/>
      <c r="I14" s="44" t="n"/>
      <c r="J14" s="43" t="n"/>
      <c r="K14" s="43" t="n"/>
      <c r="L14" s="43" t="n"/>
      <c r="M14" s="42" t="n"/>
    </row>
    <row r="15" ht="30.75" customFormat="1" customHeight="1" s="64">
      <c r="A15" s="115" t="inlineStr">
        <is>
          <t>Item No.</t>
        </is>
      </c>
      <c r="B15" s="117" t="inlineStr">
        <is>
          <t>Product Description</t>
        </is>
      </c>
      <c r="C15" s="117" t="inlineStr">
        <is>
          <t>SIZE (cm)</t>
        </is>
      </c>
      <c r="D15" s="118" t="n"/>
      <c r="E15" s="119" t="n"/>
      <c r="F15" s="117" t="inlineStr">
        <is>
          <t>Quantity</t>
        </is>
      </c>
      <c r="G15" s="118" t="n"/>
      <c r="H15" s="118" t="n"/>
      <c r="I15" s="119" t="n"/>
      <c r="J15" s="100" t="inlineStr">
        <is>
          <t>Weight (tons)</t>
        </is>
      </c>
      <c r="K15" s="100" t="inlineStr">
        <is>
          <t xml:space="preserve">Container number </t>
        </is>
      </c>
      <c r="L15" s="100" t="inlineStr">
        <is>
          <t>Stockyard</t>
        </is>
      </c>
      <c r="M15" s="110" t="inlineStr">
        <is>
          <t>Oder No.</t>
        </is>
      </c>
    </row>
    <row r="16" ht="27.75" customFormat="1" customHeight="1" s="64">
      <c r="A16" s="124" t="n"/>
      <c r="B16" s="125" t="n"/>
      <c r="C16" s="41" t="inlineStr">
        <is>
          <t>L</t>
        </is>
      </c>
      <c r="D16" s="41" t="inlineStr">
        <is>
          <t>W</t>
        </is>
      </c>
      <c r="E16" s="41" t="inlineStr">
        <is>
          <t>H</t>
        </is>
      </c>
      <c r="F16" s="120" t="inlineStr">
        <is>
          <t>pieces/ m2/tons</t>
        </is>
      </c>
      <c r="G16" s="92" t="n"/>
      <c r="H16" s="40" t="inlineStr">
        <is>
          <t>Crates</t>
        </is>
      </c>
      <c r="I16" s="39" t="inlineStr">
        <is>
          <t>Packing unit</t>
        </is>
      </c>
      <c r="J16" s="125" t="n"/>
      <c r="K16" s="125" t="n"/>
      <c r="L16" s="125" t="n"/>
      <c r="M16" s="126" t="n"/>
    </row>
    <row r="17" ht="55.9" customFormat="1" customHeight="1" s="64">
      <c r="A17" s="58" t="inlineStr">
        <is>
          <t>1</t>
        </is>
      </c>
      <c r="B17" s="59" t="inlineStr">
        <is>
          <t>Black Basalt Cubic Hand split (Packing in wooden crate)</t>
        </is>
      </c>
      <c r="C17" s="60" t="n">
        <v>10</v>
      </c>
      <c r="D17" s="60" t="n">
        <v>10</v>
      </c>
      <c r="E17" s="60" t="n">
        <v>8</v>
      </c>
      <c r="F17" s="37" t="inlineStr">
        <is>
          <t>28.05 tons</t>
        </is>
      </c>
      <c r="G17" s="36" t="inlineStr"/>
      <c r="H17" s="35" t="n">
        <v>21</v>
      </c>
      <c r="I17" s="34" t="inlineStr">
        <is>
          <t>700.0 pcs/crate</t>
        </is>
      </c>
      <c r="J17" s="33" t="n">
        <v>28.1</v>
      </c>
      <c r="K17" s="32" t="inlineStr">
        <is>
          <t>CLHU3008922</t>
        </is>
      </c>
      <c r="L17" s="31" t="n"/>
      <c r="M17" s="61" t="inlineStr">
        <is>
          <t>11/A-X27/23 (2301205)</t>
        </is>
      </c>
    </row>
    <row r="18" ht="55.9" customFormat="1" customHeight="1" s="64" thickBot="1">
      <c r="A18" s="58" t="inlineStr">
        <is>
          <t>2</t>
        </is>
      </c>
      <c r="B18" s="59" t="inlineStr">
        <is>
          <t>Black Basalt Cubes   All side handmade</t>
        </is>
      </c>
      <c r="C18" s="60" t="n">
        <v>15</v>
      </c>
      <c r="D18" s="60" t="n">
        <v>15</v>
      </c>
      <c r="E18" s="60" t="n">
        <v>15</v>
      </c>
      <c r="F18" s="37" t="inlineStr">
        <is>
          <t>28.17 tons</t>
        </is>
      </c>
      <c r="G18" s="36" t="inlineStr"/>
      <c r="H18" s="35" t="n">
        <v>25</v>
      </c>
      <c r="I18" s="34" t="inlineStr">
        <is>
          <t>144.0 pcs/crate</t>
        </is>
      </c>
      <c r="J18" s="33" t="n">
        <v>28.1</v>
      </c>
      <c r="K18" s="32" t="inlineStr">
        <is>
          <t>MEDU3887777</t>
        </is>
      </c>
      <c r="L18" s="31" t="n"/>
      <c r="M18" s="61" t="inlineStr">
        <is>
          <t>11/A-X27/23 (2301205)</t>
        </is>
      </c>
    </row>
    <row r="19" ht="55.9" customFormat="1" customHeight="1" s="64" thickBot="1">
      <c r="A19" s="58" t="inlineStr">
        <is>
          <t>3</t>
        </is>
      </c>
      <c r="B19" s="59" t="inlineStr">
        <is>
          <t>Black Basalt Cubes   All side handmade</t>
        </is>
      </c>
      <c r="C19" s="60" t="n">
        <v>15</v>
      </c>
      <c r="D19" s="60" t="n">
        <v>15</v>
      </c>
      <c r="E19" s="60" t="n">
        <v>15</v>
      </c>
      <c r="F19" s="37" t="inlineStr">
        <is>
          <t>28.17 tons</t>
        </is>
      </c>
      <c r="G19" s="36" t="inlineStr"/>
      <c r="H19" s="35" t="n">
        <v>25</v>
      </c>
      <c r="I19" s="34" t="inlineStr">
        <is>
          <t>144.0 pcs/crate</t>
        </is>
      </c>
      <c r="J19" s="33" t="n">
        <v>28.1</v>
      </c>
      <c r="K19" s="32" t="inlineStr">
        <is>
          <t>FTAU1239155</t>
        </is>
      </c>
      <c r="L19" s="31" t="n"/>
      <c r="M19" s="61" t="inlineStr">
        <is>
          <t>11/A-X27/23 (2301205)</t>
        </is>
      </c>
    </row>
    <row r="20" ht="21.2" customFormat="1" customHeight="1" s="64">
      <c r="A20" s="112" t="inlineStr">
        <is>
          <t>Total</t>
        </is>
      </c>
      <c r="G20" s="79" t="n"/>
      <c r="H20" s="30">
        <f>SUM(H17:H19)</f>
        <v/>
      </c>
      <c r="I20" s="30" t="n"/>
      <c r="J20" s="29">
        <f>SUM(J17:J19)</f>
        <v/>
      </c>
      <c r="K20" s="62">
        <f>COUNTA(K17:K19)</f>
        <v/>
      </c>
      <c r="L20" s="28" t="n"/>
      <c r="M20" s="27" t="n"/>
    </row>
    <row r="21" ht="17.45" customFormat="1" customHeight="1" s="64">
      <c r="A21" s="113" t="n"/>
      <c r="B21" s="109" t="n"/>
      <c r="C21" s="109" t="n"/>
      <c r="D21" s="109" t="n"/>
      <c r="E21" s="109" t="n"/>
      <c r="F21" s="109" t="n"/>
      <c r="G21" s="114" t="n"/>
      <c r="H21" s="26" t="inlineStr">
        <is>
          <t>crates</t>
        </is>
      </c>
      <c r="I21" s="25" t="n"/>
      <c r="J21" s="25" t="inlineStr">
        <is>
          <t>tons</t>
        </is>
      </c>
      <c r="K21" s="24" t="inlineStr">
        <is>
          <t>containers</t>
        </is>
      </c>
      <c r="L21" s="24" t="n"/>
      <c r="M21" s="23" t="n"/>
    </row>
    <row r="22" ht="12" customHeight="1">
      <c r="A22" s="22" t="n"/>
      <c r="B22" s="22" t="n"/>
      <c r="C22" s="22" t="n"/>
      <c r="D22" s="22" t="n"/>
      <c r="E22" s="22" t="n"/>
      <c r="F22" s="22" t="n"/>
      <c r="G22" s="22" t="n"/>
      <c r="H22" s="21" t="n"/>
      <c r="I22" s="20" t="n"/>
      <c r="J22" s="20" t="n"/>
      <c r="K22" s="19" t="n"/>
      <c r="L22" s="19" t="n"/>
      <c r="M22" s="18" t="n"/>
    </row>
    <row r="23" ht="12" customHeight="1">
      <c r="F23" s="17" t="n"/>
      <c r="G23" s="17" t="n"/>
      <c r="H23" s="121" t="inlineStr">
        <is>
          <t>FOR AND ON BEHALF OF SELLER</t>
        </is>
      </c>
    </row>
    <row r="24" ht="12" customHeight="1">
      <c r="A24" s="64" t="n"/>
      <c r="B24" s="64" t="n"/>
      <c r="C24" s="64" t="n"/>
      <c r="D24" s="64" t="n"/>
      <c r="E24" s="64" t="n"/>
      <c r="F24" s="17" t="n"/>
      <c r="G24" s="17" t="n"/>
      <c r="H24" s="122" t="inlineStr">
        <is>
          <t>A PLUS MINERAL MATERIAL CORPORATION</t>
        </is>
      </c>
    </row>
    <row r="25" ht="12" customHeight="1">
      <c r="H25" s="71" t="n"/>
      <c r="I25" s="71" t="n"/>
      <c r="J25" s="71" t="n"/>
      <c r="K25" s="71" t="n"/>
      <c r="M25" s="71" t="n"/>
    </row>
    <row r="26" ht="12" customHeight="1">
      <c r="H26" s="71" t="n"/>
      <c r="I26" s="71" t="n"/>
      <c r="J26" s="71" t="n"/>
      <c r="K26" s="71" t="n"/>
      <c r="M26" s="71" t="n"/>
    </row>
    <row r="27" ht="12" customHeight="1">
      <c r="H27" s="71" t="n"/>
      <c r="I27" s="71" t="n"/>
      <c r="J27" s="71" t="n"/>
      <c r="K27" s="71" t="n"/>
      <c r="M27" s="71" t="n"/>
    </row>
    <row r="28" ht="39" customHeight="1"/>
    <row r="29" ht="12" customHeight="1"/>
    <row r="30" ht="12" customHeight="1"/>
    <row r="31" ht="12" customHeight="1"/>
    <row r="32"/>
    <row r="33"/>
    <row r="34"/>
    <row r="35" ht="15.75" customHeight="1"/>
    <row r="36" ht="15.75" customHeight="1">
      <c r="A36" s="71" t="n"/>
      <c r="H36" s="71" t="n"/>
    </row>
    <row r="37" ht="15.75" customHeight="1"/>
    <row r="38" ht="15.75" customHeight="1">
      <c r="H38" s="123" t="inlineStr">
        <is>
          <t>TRAN ANH HOANG</t>
        </is>
      </c>
    </row>
    <row r="39" ht="15.75" customHeight="1">
      <c r="H39" s="123" t="n"/>
      <c r="I39" s="123" t="n"/>
      <c r="J39" s="123" t="n"/>
      <c r="K39" s="123" t="n"/>
      <c r="L39" s="123" t="n"/>
      <c r="M39" s="123" t="n"/>
    </row>
    <row r="40" ht="15.75" customHeight="1">
      <c r="H40" s="123" t="n"/>
      <c r="I40" s="123" t="n"/>
      <c r="J40" s="123" t="n"/>
      <c r="K40" s="123" t="n"/>
      <c r="L40" s="123" t="n"/>
      <c r="M40" s="123" t="n"/>
    </row>
    <row r="41" ht="15.75" customHeight="1">
      <c r="H41" s="123" t="n"/>
      <c r="I41" s="123" t="n"/>
      <c r="J41" s="123" t="n"/>
      <c r="K41" s="123" t="n"/>
      <c r="L41" s="123" t="n"/>
      <c r="M41" s="123" t="n"/>
    </row>
    <row r="42" ht="15.75" customHeight="1">
      <c r="H42" s="123" t="n"/>
      <c r="I42" s="123" t="n"/>
      <c r="J42" s="123" t="n"/>
      <c r="K42" s="123" t="n"/>
      <c r="L42" s="123" t="n"/>
      <c r="M42" s="123" t="n"/>
    </row>
    <row r="43" ht="66.75" customHeight="1">
      <c r="H43" s="123" t="n"/>
      <c r="I43" s="123" t="n"/>
      <c r="J43" s="123" t="n"/>
      <c r="K43" s="123" t="n"/>
      <c r="L43" s="123" t="n"/>
      <c r="M43" s="123" t="n"/>
    </row>
    <row r="44" ht="15.75" customHeight="1">
      <c r="H44" s="123" t="n"/>
      <c r="I44" s="123" t="n"/>
      <c r="J44" s="123" t="n"/>
      <c r="K44" s="123" t="n"/>
      <c r="L44" s="123" t="n"/>
      <c r="M44" s="123" t="n"/>
    </row>
    <row r="45" ht="15.75" customHeight="1">
      <c r="H45" s="123" t="n"/>
      <c r="I45" s="123" t="n"/>
      <c r="J45" s="123" t="n"/>
      <c r="K45" s="123" t="n"/>
      <c r="L45" s="123" t="n"/>
      <c r="M45" s="123" t="n"/>
    </row>
    <row r="46" ht="45" customHeight="1">
      <c r="H46" s="123" t="n"/>
      <c r="I46" s="123" t="n"/>
      <c r="J46" s="123" t="n"/>
      <c r="K46" s="123" t="n"/>
      <c r="L46" s="123" t="n"/>
      <c r="M46" s="123" t="n"/>
    </row>
    <row r="47" ht="13.5" customFormat="1" customHeight="1" s="6">
      <c r="H47" s="123" t="n"/>
      <c r="I47" s="123" t="n"/>
      <c r="J47" s="123" t="n"/>
      <c r="K47" s="123" t="n"/>
      <c r="L47" s="123" t="n"/>
      <c r="M47" s="123" t="n"/>
    </row>
    <row r="48" ht="13.5" customFormat="1" customHeight="1" s="6">
      <c r="H48" s="123" t="n"/>
      <c r="I48" s="123" t="n"/>
      <c r="J48" s="123" t="n"/>
      <c r="K48" s="123" t="n"/>
      <c r="L48" s="123" t="n"/>
      <c r="M48" s="123" t="n"/>
    </row>
    <row r="49" ht="13.5" customFormat="1" customHeight="1" s="6">
      <c r="A49" s="68" t="n"/>
      <c r="B49" s="68" t="n"/>
      <c r="C49" s="68" t="n"/>
      <c r="D49" s="68" t="n"/>
      <c r="E49" s="68" t="n"/>
      <c r="F49" s="69" t="n"/>
      <c r="G49" s="69" t="n"/>
      <c r="H49" s="70" t="n"/>
      <c r="I49" s="68" t="n"/>
      <c r="J49" s="68" t="n"/>
      <c r="K49" s="68" t="n"/>
      <c r="L49" s="71" t="n"/>
      <c r="M49" s="72" t="n"/>
    </row>
    <row r="50" ht="13.5" customFormat="1" customHeight="1" s="6">
      <c r="A50" s="13" t="n"/>
      <c r="B50" s="10" t="n"/>
      <c r="C50" s="13" t="n"/>
      <c r="D50" s="13" t="n"/>
      <c r="E50" s="13" t="n"/>
      <c r="F50" s="13" t="n"/>
      <c r="G50" s="12" t="n"/>
      <c r="H50" s="11" t="n"/>
      <c r="I50" s="10" t="n"/>
      <c r="J50" s="9" t="n"/>
      <c r="K50" s="9" t="n"/>
      <c r="L50" s="8" t="n"/>
      <c r="M50" s="7" t="n"/>
    </row>
    <row r="51" ht="13.5" customHeight="1">
      <c r="A51" s="14" t="inlineStr">
        <is>
          <t xml:space="preserve">The Exporter: A PLUS MINERAL MATERIAL CORPORATION. VNREX0306318488VCCI10L01 of the products covered by this documents declares that, except where otherwise </t>
        </is>
      </c>
      <c r="B51" s="10" t="n"/>
      <c r="C51" s="13" t="n"/>
      <c r="D51" s="13" t="n"/>
      <c r="E51" s="13" t="n"/>
      <c r="F51" s="13" t="n"/>
      <c r="G51" s="12" t="n"/>
      <c r="H51" s="11" t="n"/>
      <c r="I51" s="10" t="n"/>
      <c r="J51" s="9" t="n"/>
      <c r="K51" s="9" t="n"/>
      <c r="L51" s="8" t="n"/>
      <c r="M51" s="7" t="n"/>
    </row>
    <row r="52">
      <c r="A52" s="14" t="inlineStr">
        <is>
          <t>clearly indicated, these products are of Vietnam origin according to the rules of origin of the Generalized System of Preferances of the European Union and  that the origin</t>
        </is>
      </c>
      <c r="B52" s="10" t="n"/>
      <c r="C52" s="13" t="n"/>
      <c r="D52" s="13" t="n"/>
      <c r="E52" s="13" t="n"/>
      <c r="F52" s="13" t="n"/>
      <c r="G52" s="12" t="n"/>
      <c r="H52" s="11" t="n"/>
      <c r="I52" s="10" t="n"/>
      <c r="J52" s="9" t="n"/>
      <c r="K52" s="9" t="n"/>
      <c r="L52" s="8" t="n"/>
      <c r="M52" s="7" t="n"/>
    </row>
    <row r="53">
      <c r="A53" s="14" t="inlineStr">
        <is>
          <t>criterion met is "P" (H.S.Code)</t>
        </is>
      </c>
      <c r="B53" s="10" t="n"/>
      <c r="C53" s="13" t="n"/>
      <c r="D53" s="13" t="n"/>
      <c r="E53" s="13" t="n"/>
      <c r="F53" s="13" t="n"/>
      <c r="G53" s="12" t="n"/>
      <c r="H53" s="11" t="n"/>
      <c r="I53" s="10" t="n"/>
      <c r="J53" s="9" t="n"/>
      <c r="K53" s="9" t="n"/>
      <c r="L53" s="8" t="n"/>
      <c r="M53" s="7" t="n"/>
    </row>
  </sheetData>
  <mergeCells count="42">
    <mergeCell ref="A12:B13"/>
    <mergeCell ref="I8:L8"/>
    <mergeCell ref="F16:G16"/>
    <mergeCell ref="H36:M36"/>
    <mergeCell ref="C9:H9"/>
    <mergeCell ref="A11:B11"/>
    <mergeCell ref="G11:H11"/>
    <mergeCell ref="A4:M4"/>
    <mergeCell ref="J15:J16"/>
    <mergeCell ref="C12:H12"/>
    <mergeCell ref="L15:L16"/>
    <mergeCell ref="A6:B6"/>
    <mergeCell ref="M15:M16"/>
    <mergeCell ref="I9:L9"/>
    <mergeCell ref="A7:B7"/>
    <mergeCell ref="G10:H10"/>
    <mergeCell ref="I6:L6"/>
    <mergeCell ref="I10:M11"/>
    <mergeCell ref="C8:H8"/>
    <mergeCell ref="C7:H7"/>
    <mergeCell ref="B15:B16"/>
    <mergeCell ref="I12:M12"/>
    <mergeCell ref="A36:G36"/>
    <mergeCell ref="H24:M24"/>
    <mergeCell ref="C13:H13"/>
    <mergeCell ref="H23:M23"/>
    <mergeCell ref="F15:I15"/>
    <mergeCell ref="A14:B14"/>
    <mergeCell ref="A20:G21"/>
    <mergeCell ref="I7:L7"/>
    <mergeCell ref="C10:F10"/>
    <mergeCell ref="A8:B8"/>
    <mergeCell ref="C15:E15"/>
    <mergeCell ref="H38:M38"/>
    <mergeCell ref="C6:H6"/>
    <mergeCell ref="A15:A16"/>
    <mergeCell ref="A3:M3"/>
    <mergeCell ref="I13:M13"/>
    <mergeCell ref="C11:F11"/>
    <mergeCell ref="K15:K16"/>
    <mergeCell ref="A9:B9"/>
    <mergeCell ref="A2:M2"/>
  </mergeCells>
  <printOptions horizontalCentered="1"/>
  <pageMargins left="0.25" right="0.25" top="0.25" bottom="0.25" header="0.2" footer="0.2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2025-11-17T08:57:34Z</dcterms:modified>
  <cp:lastModifiedBy>Nguyễn Hữu Vĩnh Nghi</cp:lastModifiedBy>
  <cp:lastPrinted>2025-11-17T02:23:37Z</cp:lastPrinted>
</cp:coreProperties>
</file>