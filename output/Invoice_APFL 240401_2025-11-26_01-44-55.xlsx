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externalReferences>
    <externalReference xmlns:r="http://schemas.openxmlformats.org/officeDocument/2006/relationships" r:id="rId2"/>
  </externalReferences>
  <definedNames>
    <definedName name="_xlnm.Print_Area" localSheetId="0">'Sheet1'!$A$1:$K$45</definedName>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6"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0" fontId="2" fillId="0" borderId="0" applyAlignment="1" pivotButton="0" quotePrefix="0" xfId="0">
      <alignment horizontal="center"/>
    </xf>
    <xf numFmtId="0" fontId="7" fillId="0" borderId="0" applyAlignment="1" pivotButton="0" quotePrefix="0" xfId="0">
      <alignment horizontal="center"/>
    </xf>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0" fillId="0" borderId="1" pivotButton="0" quotePrefix="0" xfId="0"/>
    <xf numFmtId="0" fontId="0" fillId="0" borderId="2" pivotButton="0" quotePrefix="0" xfId="0"/>
    <xf numFmtId="4" fontId="11" fillId="0" borderId="3" applyAlignment="1" pivotButton="0" quotePrefix="0" xfId="0">
      <alignment horizontal="center" vertical="center" wrapText="1"/>
    </xf>
    <xf numFmtId="0" fontId="12" fillId="0" borderId="3" applyAlignment="1" pivotButton="0" quotePrefix="0" xfId="0">
      <alignment vertical="center"/>
    </xf>
    <xf numFmtId="0" fontId="10" fillId="0" borderId="3" applyAlignment="1" pivotButton="0" quotePrefix="0" xfId="0">
      <alignment horizontal="left" vertical="center" wrapText="1"/>
    </xf>
    <xf numFmtId="4" fontId="11" fillId="0" borderId="1"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4" applyAlignment="1" pivotButton="0" quotePrefix="0" xfId="0">
      <alignment horizontal="center" vertical="center" wrapText="1"/>
    </xf>
    <xf numFmtId="0" fontId="12" fillId="0" borderId="3" applyAlignment="1" pivotButton="0" quotePrefix="0" xfId="0">
      <alignment horizontal="left" vertical="center" wrapText="1"/>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0" borderId="7" applyAlignment="1" pivotButton="0" quotePrefix="0" xfId="0">
      <alignment horizontal="left" vertical="top" wrapText="1"/>
    </xf>
    <xf numFmtId="0" fontId="12" fillId="0" borderId="8" applyAlignment="1" pivotButton="0" quotePrefix="0" xfId="0">
      <alignment horizontal="left" vertical="top" wrapText="1"/>
    </xf>
    <xf numFmtId="0" fontId="12" fillId="0" borderId="0" applyAlignment="1" pivotButton="0" quotePrefix="0" xfId="0">
      <alignment horizontal="left" vertical="top" wrapText="1"/>
    </xf>
    <xf numFmtId="0" fontId="12" fillId="0" borderId="9" applyAlignment="1" pivotButton="0" quotePrefix="0" xfId="0">
      <alignment horizontal="left" vertical="top" wrapText="1"/>
    </xf>
    <xf numFmtId="0" fontId="8" fillId="0" borderId="3" applyAlignment="1" pivotButton="0" quotePrefix="0" xfId="0">
      <alignment horizontal="center" vertical="center"/>
    </xf>
    <xf numFmtId="0" fontId="12" fillId="0" borderId="10" applyAlignment="1" pivotButton="0" quotePrefix="0" xfId="0">
      <alignment horizontal="left" vertical="top" wrapText="1"/>
    </xf>
    <xf numFmtId="0" fontId="12" fillId="0" borderId="11" applyAlignment="1" pivotButton="0" quotePrefix="0" xfId="0">
      <alignment horizontal="left" vertical="top" wrapText="1"/>
    </xf>
    <xf numFmtId="0" fontId="12" fillId="0" borderId="12" applyAlignment="1" pivotButton="0" quotePrefix="0" xfId="0">
      <alignment horizontal="left" vertical="top"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0" fillId="0" borderId="13" pivotButton="0" quotePrefix="0" xfId="0"/>
    <xf numFmtId="0" fontId="0" fillId="0" borderId="14" pivotButton="0" quotePrefix="0" xfId="0"/>
    <xf numFmtId="0" fontId="14" fillId="2" borderId="15" applyAlignment="1" pivotButton="0" quotePrefix="0" xfId="0">
      <alignment horizontal="center" vertical="center"/>
    </xf>
    <xf numFmtId="0" fontId="0" fillId="0" borderId="10" pivotButton="0" quotePrefix="0" xfId="0"/>
    <xf numFmtId="0" fontId="14" fillId="2" borderId="15" applyAlignment="1" pivotButton="0" quotePrefix="0" xfId="0">
      <alignment horizontal="center" vertical="center" wrapText="1"/>
    </xf>
    <xf numFmtId="0" fontId="0" fillId="0" borderId="16" pivotButton="0" quotePrefix="0" xfId="0"/>
    <xf numFmtId="0" fontId="15" fillId="2" borderId="17" applyAlignment="1" pivotButton="0" quotePrefix="0" xfId="0">
      <alignment horizontal="center" vertical="center" wrapText="1"/>
    </xf>
    <xf numFmtId="0" fontId="15" fillId="2" borderId="18" applyAlignment="1" pivotButton="0" quotePrefix="0" xfId="0">
      <alignment horizontal="center" vertical="center" wrapText="1"/>
    </xf>
    <xf numFmtId="0" fontId="0" fillId="0" borderId="19" pivotButton="0" quotePrefix="0" xfId="0"/>
    <xf numFmtId="0" fontId="0" fillId="0" borderId="20" pivotButton="0" quotePrefix="0" xfId="0"/>
    <xf numFmtId="0" fontId="15" fillId="2" borderId="18" applyAlignment="1" pivotButton="0" quotePrefix="0" xfId="0">
      <alignment horizontal="center" vertical="center"/>
    </xf>
    <xf numFmtId="0" fontId="15" fillId="2" borderId="21" applyAlignment="1" pivotButton="0" quotePrefix="0" xfId="0">
      <alignment horizontal="center" vertical="center" wrapText="1"/>
    </xf>
    <xf numFmtId="0" fontId="0" fillId="0" borderId="22" pivotButton="0" quotePrefix="0" xfId="0"/>
    <xf numFmtId="0" fontId="2" fillId="0" borderId="0" pivotButton="0" quotePrefix="0" xfId="0"/>
    <xf numFmtId="0" fontId="2" fillId="0" borderId="0" applyAlignment="1" pivotButton="0" quotePrefix="0" xfId="0">
      <alignment horizontal="right"/>
    </xf>
    <xf numFmtId="164" fontId="7" fillId="0" borderId="0" applyAlignment="1" pivotButton="0" quotePrefix="0" xfId="1">
      <alignment horizontal="center"/>
    </xf>
    <xf numFmtId="0" fontId="12" fillId="0" borderId="23" applyAlignment="1" pivotButton="0" quotePrefix="0" xfId="0">
      <alignment horizontal="left" vertical="center" wrapText="1"/>
    </xf>
    <xf numFmtId="0" fontId="12" fillId="0" borderId="0" applyAlignment="1" pivotButton="0" quotePrefix="0" xfId="0">
      <alignment vertical="top"/>
    </xf>
    <xf numFmtId="0" fontId="12" fillId="0" borderId="24" applyAlignment="1" pivotButton="0" quotePrefix="0" xfId="0">
      <alignment vertical="top"/>
    </xf>
    <xf numFmtId="0" fontId="0" fillId="0" borderId="25" pivotButton="0" quotePrefix="0" xfId="0"/>
    <xf numFmtId="0" fontId="0" fillId="0" borderId="6" pivotButton="0" quotePrefix="0" xfId="0"/>
    <xf numFmtId="0" fontId="0" fillId="0" borderId="7" pivotButton="0" quotePrefix="0" xfId="0"/>
    <xf numFmtId="0" fontId="0" fillId="0" borderId="5" pivotButton="0" quotePrefix="0" xfId="0"/>
    <xf numFmtId="0" fontId="0" fillId="0" borderId="8" pivotButton="0" quotePrefix="0" xfId="0"/>
    <xf numFmtId="0" fontId="8" fillId="0" borderId="26" applyAlignment="1" pivotButton="0" quotePrefix="0" xfId="0">
      <alignment horizontal="left" vertical="top"/>
    </xf>
    <xf numFmtId="0" fontId="0" fillId="0" borderId="9" pivotButton="0" quotePrefix="0" xfId="0"/>
    <xf numFmtId="0" fontId="0" fillId="0" borderId="27" pivotButton="0" quotePrefix="0" xfId="0"/>
    <xf numFmtId="0" fontId="0" fillId="0" borderId="11" pivotButton="0" quotePrefix="0" xfId="0"/>
    <xf numFmtId="0" fontId="8" fillId="0" borderId="28" applyAlignment="1" pivotButton="0" quotePrefix="0" xfId="0">
      <alignment horizontal="left" vertical="justify" wrapText="1"/>
    </xf>
    <xf numFmtId="0" fontId="8" fillId="0" borderId="3" applyAlignment="1" pivotButton="0" quotePrefix="0" xfId="0">
      <alignment horizontal="left" vertical="justify" wrapText="1"/>
    </xf>
    <xf numFmtId="0" fontId="7" fillId="0" borderId="29" applyAlignment="1" pivotButton="0" quotePrefix="0" xfId="0">
      <alignment horizontal="left" vertical="center" wrapText="1"/>
    </xf>
    <xf numFmtId="166" fontId="12" fillId="0" borderId="13" applyAlignment="1" pivotButton="0" quotePrefix="0" xfId="0">
      <alignment horizontal="left" vertical="center"/>
    </xf>
    <xf numFmtId="166" fontId="12" fillId="0" borderId="14" applyAlignment="1" pivotButton="0" quotePrefix="0" xfId="0">
      <alignment horizontal="left" vertical="center"/>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31" applyAlignment="1" pivotButton="0" quotePrefix="0" xfId="0">
      <alignment horizontal="left" vertical="center"/>
    </xf>
    <xf numFmtId="0" fontId="8" fillId="0" borderId="15" applyAlignment="1" pivotButton="0" quotePrefix="0" xfId="0">
      <alignment horizontal="left" vertical="center"/>
    </xf>
    <xf numFmtId="0" fontId="8" fillId="0" borderId="0" applyAlignment="1" applyProtection="1" pivotButton="0" quotePrefix="0" xfId="0">
      <alignment vertical="center"/>
      <protection locked="0" hidden="0"/>
    </xf>
    <xf numFmtId="0" fontId="8" fillId="0" borderId="24" pivotButton="0" quotePrefix="0" xfId="0"/>
    <xf numFmtId="0" fontId="12" fillId="0" borderId="14" applyAlignment="1" pivotButton="0" quotePrefix="0" xfId="0">
      <alignment horizontal="center" vertical="center" wrapText="1"/>
    </xf>
    <xf numFmtId="0" fontId="12" fillId="0" borderId="7" applyAlignment="1" pivotButton="0" quotePrefix="0" xfId="0">
      <alignment horizontal="left" vertical="center" wrapText="1"/>
    </xf>
    <xf numFmtId="0" fontId="8" fillId="0" borderId="26" applyAlignment="1" pivotButton="0" quotePrefix="0" xfId="0">
      <alignment horizontal="left" vertical="center"/>
    </xf>
    <xf numFmtId="0" fontId="8" fillId="0" borderId="12" applyAlignment="1" pivotButton="0" quotePrefix="0" xfId="0">
      <alignment horizontal="left" vertical="center"/>
    </xf>
    <xf numFmtId="0" fontId="8" fillId="0" borderId="26" applyAlignment="1" pivotButton="0" quotePrefix="0" xfId="0">
      <alignment horizontal="left" vertical="center" wrapText="1"/>
    </xf>
    <xf numFmtId="166" fontId="11" fillId="0" borderId="13" applyAlignment="1" pivotButton="0" quotePrefix="0" xfId="0">
      <alignment horizontal="center" vertical="center" wrapText="1"/>
    </xf>
    <xf numFmtId="0" fontId="12" fillId="0" borderId="32" applyAlignment="1" pivotButton="0" quotePrefix="0" xfId="0">
      <alignment horizontal="left" vertical="center" wrapText="1"/>
    </xf>
    <xf numFmtId="0" fontId="12" fillId="0" borderId="31" applyAlignment="1" pivotButton="0" quotePrefix="0" xfId="0">
      <alignment horizontal="center" vertical="center" wrapText="1"/>
    </xf>
    <xf numFmtId="0" fontId="8" fillId="0" borderId="12" applyAlignment="1" pivotButton="0" quotePrefix="0" xfId="0">
      <alignment horizontal="left" vertical="center" wrapText="1"/>
    </xf>
    <xf numFmtId="0" fontId="8" fillId="0" borderId="32" applyAlignment="1" pivotButton="0" quotePrefix="0" xfId="0">
      <alignment horizontal="left" vertical="center" wrapText="1"/>
    </xf>
    <xf numFmtId="166" fontId="12" fillId="0" borderId="13" applyAlignment="1" applyProtection="1" pivotButton="0" quotePrefix="0" xfId="0">
      <alignment horizontal="center" vertical="center" wrapText="1"/>
      <protection locked="0" hidden="0"/>
    </xf>
    <xf numFmtId="0" fontId="0" fillId="0" borderId="6" applyProtection="1" pivotButton="0" quotePrefix="0" xfId="0">
      <protection locked="0" hidden="0"/>
    </xf>
    <xf numFmtId="166" fontId="12" fillId="0" borderId="7" applyAlignment="1" applyProtection="1" pivotButton="0" quotePrefix="0" xfId="0">
      <alignment horizontal="left" vertical="center" wrapText="1"/>
      <protection locked="0" hidden="0"/>
    </xf>
    <xf numFmtId="40" fontId="12" fillId="0" borderId="14" applyAlignment="1" pivotButton="0" quotePrefix="0" xfId="0">
      <alignment horizontal="left" vertical="center" wrapText="1"/>
    </xf>
    <xf numFmtId="0" fontId="12" fillId="0" borderId="26" applyAlignment="1" pivotButton="0" quotePrefix="0" xfId="0">
      <alignment horizontal="left" vertical="center" wrapText="1"/>
    </xf>
    <xf numFmtId="0" fontId="8" fillId="0" borderId="33" applyAlignment="1" applyProtection="1" pivotButton="0" quotePrefix="0" xfId="0">
      <alignment horizontal="center" vertical="center" wrapText="1"/>
      <protection locked="0" hidden="1"/>
    </xf>
    <xf numFmtId="0" fontId="0" fillId="0" borderId="34" applyProtection="1" pivotButton="0" quotePrefix="0" xfId="0">
      <protection locked="0" hidden="1"/>
    </xf>
    <xf numFmtId="0" fontId="12" fillId="0" borderId="35" applyAlignment="1" applyProtection="1" pivotButton="0" quotePrefix="0" xfId="0">
      <alignment horizontal="left" vertical="center" wrapText="1"/>
      <protection locked="0" hidden="1"/>
    </xf>
    <xf numFmtId="0" fontId="0" fillId="0" borderId="36" applyProtection="1" pivotButton="0" quotePrefix="0" xfId="0">
      <protection locked="0" hidden="0"/>
    </xf>
    <xf numFmtId="0" fontId="0" fillId="0" borderId="34" applyProtection="1" pivotButton="0" quotePrefix="0" xfId="0">
      <protection locked="0" hidden="0"/>
    </xf>
    <xf numFmtId="0" fontId="8" fillId="0" borderId="37" applyAlignment="1" applyProtection="1" pivotButton="0" quotePrefix="0" xfId="0">
      <alignment horizontal="left" vertical="center" wrapText="1"/>
      <protection locked="0" hidden="0"/>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7" fillId="0" borderId="0" applyAlignment="1" pivotButton="0" quotePrefix="0" xfId="0">
      <alignment horizontal="center" vertical="center"/>
    </xf>
    <xf numFmtId="0" fontId="18" fillId="0" borderId="0" pivotButton="0" quotePrefix="0" xfId="0"/>
    <xf numFmtId="0" fontId="8" fillId="0" borderId="0" applyAlignment="1" pivotButton="0" quotePrefix="0" xfId="0">
      <alignment horizontal="left" vertical="top" wrapText="1"/>
    </xf>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ackingList"/>
      <sheetName val="Invoice"/>
    </sheetNames>
    <sheetDataSet>
      <sheetData sheetId="0">
        <row r="7">
          <cell r="C7" t="str">
            <v>APFL 240401</v>
          </cell>
        </row>
        <row r="16">
          <cell r="F16" t="str">
            <v>pieces/ m2/tons</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47"/>
  <sheetViews>
    <sheetView tabSelected="1" topLeftCell="A20" workbookViewId="0">
      <selection activeCell="H13" sqref="H13:K15"/>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115" t="inlineStr">
        <is>
          <t>A PLUS MINERAL MATERIAL CORPORATION</t>
        </is>
      </c>
      <c r="B1" s="115" t="n"/>
      <c r="C1" s="115" t="n"/>
      <c r="D1" s="115" t="n"/>
      <c r="E1" s="115" t="n"/>
      <c r="F1" s="114" t="n"/>
      <c r="G1" s="112" t="n"/>
      <c r="H1" s="112" t="n"/>
      <c r="I1" s="113" t="n"/>
      <c r="J1" s="112" t="n"/>
      <c r="K1" s="111" t="n"/>
    </row>
    <row r="2" ht="15.75" customHeight="1">
      <c r="A2" s="110" t="inlineStr">
        <is>
          <t>1A, 4th Floor, Broadway B, 102 Nguyen Luong Bang Street, District 7, Ho Chi Minh City, Vietnam.
Tel: 84.28.5412.2189 ; Fax: 84.28.5413.6218</t>
        </is>
      </c>
    </row>
    <row r="3" ht="15.75" customHeight="1">
      <c r="A3" s="33" t="inlineStr">
        <is>
          <t>REX NUMBER: VNREX0306318488VCCI10L01 (Date from which the REX authorisation is valid: 15/06/2020)</t>
        </is>
      </c>
    </row>
    <row r="4" ht="27" customHeight="1" thickBot="1">
      <c r="A4" s="108" t="inlineStr">
        <is>
          <t>INVOICE</t>
        </is>
      </c>
    </row>
    <row r="5">
      <c r="A5" s="107" t="inlineStr">
        <is>
          <t>BUYER/CUSTOMER:</t>
        </is>
      </c>
      <c r="B5" s="106" t="n"/>
      <c r="C5" s="105" t="inlineStr">
        <is>
          <t>INVOICE NO:</t>
        </is>
      </c>
      <c r="D5" s="104" t="n"/>
      <c r="E5" s="104" t="n"/>
      <c r="F5" s="104" t="n"/>
      <c r="G5" s="104" t="n"/>
      <c r="H5" s="103" t="n"/>
      <c r="I5" s="102" t="inlineStr">
        <is>
          <t>CLIENT :</t>
        </is>
      </c>
      <c r="J5" s="101" t="n"/>
      <c r="K5" s="100" t="inlineStr">
        <is>
          <t>DATE :</t>
        </is>
      </c>
    </row>
    <row r="6" ht="75" customHeight="1">
      <c r="A6" s="99" t="inlineStr">
        <is>
          <t>APFL GRANIT GMBH</t>
        </is>
      </c>
      <c r="B6" s="69" t="n"/>
      <c r="C6" s="98" t="inlineStr">
        <is>
          <t>APFL 240401</t>
        </is>
      </c>
      <c r="D6" s="66" t="n"/>
      <c r="E6" s="66" t="n"/>
      <c r="F6" s="66" t="n"/>
      <c r="G6" s="66" t="n"/>
      <c r="H6" s="68" t="n"/>
      <c r="I6" s="97" t="n"/>
      <c r="J6" s="96" t="n"/>
      <c r="K6" s="95" t="inlineStr">
        <is>
          <t>2024-04-22</t>
        </is>
      </c>
    </row>
    <row r="7" ht="22.5" customHeight="1">
      <c r="A7" s="87" t="inlineStr">
        <is>
          <t>LINDENWEG 1</t>
        </is>
      </c>
      <c r="B7" s="69" t="n"/>
      <c r="C7" s="94" t="inlineStr">
        <is>
          <t>PORT OF ORIGIN:</t>
        </is>
      </c>
      <c r="H7" s="69" t="n"/>
      <c r="I7" s="93" t="inlineStr">
        <is>
          <t>FINAL DESTINATION:</t>
        </is>
      </c>
      <c r="J7" s="73" t="n"/>
      <c r="K7" s="92" t="inlineStr">
        <is>
          <t>STOCKYARD :</t>
        </is>
      </c>
    </row>
    <row r="8" ht="48" customHeight="1">
      <c r="A8" s="89" t="inlineStr">
        <is>
          <t>PETERSDORF
94265
Germany</t>
        </is>
      </c>
      <c r="B8" s="69" t="n"/>
      <c r="C8" s="91" t="inlineStr">
        <is>
          <t>Qui Nhon port</t>
        </is>
      </c>
      <c r="H8" s="69" t="n"/>
      <c r="I8" s="85" t="inlineStr">
        <is>
          <t>HAMBURG</t>
        </is>
      </c>
      <c r="J8" s="68" t="n"/>
      <c r="K8" s="90" t="inlineStr">
        <is>
          <t>Furth</t>
        </is>
      </c>
    </row>
    <row r="9" ht="36" customHeight="1">
      <c r="A9" s="89" t="inlineStr">
        <is>
          <t>Tel: +49(0)9923-80101-12</t>
        </is>
      </c>
      <c r="B9" s="69" t="n"/>
      <c r="C9" s="88" t="inlineStr">
        <is>
          <t>OCEAN VESSEL</t>
        </is>
      </c>
      <c r="D9" s="73" t="n"/>
      <c r="E9" s="73" t="n"/>
      <c r="F9" s="73" t="n"/>
      <c r="G9" s="82" t="inlineStr">
        <is>
          <t>B/L NO.</t>
        </is>
      </c>
      <c r="H9" s="49" t="n"/>
      <c r="I9" s="74" t="inlineStr">
        <is>
          <t>INCOTERMS:
☑ Collect
☐ Prepaid
☐ Freight</t>
        </is>
      </c>
      <c r="J9" s="73" t="n"/>
      <c r="K9" s="72" t="n"/>
    </row>
    <row r="10" ht="34.5" customHeight="1">
      <c r="A10" s="87" t="inlineStr">
        <is>
          <t xml:space="preserve">Fax: </t>
        </is>
      </c>
      <c r="B10" s="69" t="n"/>
      <c r="C10" s="86" t="inlineStr">
        <is>
          <t>MSC IDA II V.HZ414A</t>
        </is>
      </c>
      <c r="D10" s="66" t="n"/>
      <c r="E10" s="66" t="n"/>
      <c r="F10" s="66" t="n"/>
      <c r="G10" s="85" t="inlineStr">
        <is>
          <t>MEDUF2486803</t>
        </is>
      </c>
      <c r="H10" s="68" t="n"/>
      <c r="I10" s="67" t="n"/>
      <c r="J10" s="66" t="n"/>
      <c r="K10" s="65" t="n"/>
    </row>
    <row r="11">
      <c r="A11" s="84" t="inlineStr">
        <is>
          <t xml:space="preserve">VAT NO. : </t>
        </is>
      </c>
      <c r="B11" s="83" t="n"/>
      <c r="C11" s="82" t="inlineStr">
        <is>
          <t>DEPARTURE DATE:</t>
        </is>
      </c>
      <c r="D11" s="73" t="n"/>
      <c r="E11" s="73" t="n"/>
      <c r="F11" s="73" t="n"/>
      <c r="G11" s="73" t="n"/>
      <c r="H11" s="49" t="n"/>
      <c r="I11" s="81" t="inlineStr">
        <is>
          <t>ARRIVAL SCHEDULE:</t>
        </is>
      </c>
      <c r="J11" s="73" t="n"/>
      <c r="K11" s="72" t="n"/>
    </row>
    <row r="12">
      <c r="A12" s="80" t="n"/>
      <c r="B12" s="79" t="n"/>
      <c r="C12" s="78" t="inlineStr">
        <is>
          <t>2024-04-03</t>
        </is>
      </c>
      <c r="D12" s="66" t="n"/>
      <c r="E12" s="66" t="n"/>
      <c r="F12" s="66" t="n"/>
      <c r="G12" s="66" t="n"/>
      <c r="H12" s="68" t="n"/>
      <c r="I12" s="77" t="inlineStr"/>
      <c r="J12" s="66" t="n"/>
      <c r="K12" s="65" t="n"/>
    </row>
    <row r="13" ht="31.5" customHeight="1">
      <c r="A13" s="76" t="inlineStr">
        <is>
          <t>REMARK NUMBER ON DOCUMENTS :</t>
        </is>
      </c>
      <c r="B13" s="49" t="n"/>
      <c r="C13" s="75" t="inlineStr">
        <is>
          <t>TERMS OF SALE:
FOB</t>
        </is>
      </c>
      <c r="D13" s="73" t="n"/>
      <c r="E13" s="73" t="n"/>
      <c r="F13" s="73" t="n"/>
      <c r="G13" s="49" t="n"/>
      <c r="H13" s="74" t="inlineStr">
        <is>
          <t>TERMS OF PAYMENT:
T/T at Sight Draft</t>
        </is>
      </c>
      <c r="I13" s="73" t="n"/>
      <c r="J13" s="73" t="n"/>
      <c r="K13" s="72" t="n"/>
    </row>
    <row r="14" ht="32.25" customHeight="1">
      <c r="A14" s="70" t="inlineStr"/>
      <c r="B14" s="69" t="n"/>
      <c r="C14" s="71" t="n"/>
      <c r="G14" s="69" t="n"/>
      <c r="H14" s="71" t="n"/>
      <c r="K14" s="58" t="n"/>
    </row>
    <row r="15" ht="33.75" customHeight="1">
      <c r="A15" s="70" t="n"/>
      <c r="B15" s="69" t="n"/>
      <c r="C15" s="67" t="n"/>
      <c r="D15" s="66" t="n"/>
      <c r="E15" s="66" t="n"/>
      <c r="F15" s="66" t="n"/>
      <c r="G15" s="68" t="n"/>
      <c r="H15" s="67" t="n"/>
      <c r="I15" s="66" t="n"/>
      <c r="J15" s="66" t="n"/>
      <c r="K15" s="65" t="n"/>
    </row>
    <row r="16">
      <c r="A16" s="64" t="n"/>
      <c r="B16" s="63" t="n"/>
      <c r="C16" s="62" t="inlineStr">
        <is>
          <t>BANK DETAIL: A PLUS MINERAL MATERIAL CORPORATION</t>
        </is>
      </c>
      <c r="K16" s="58" t="n"/>
    </row>
    <row r="17">
      <c r="A17" s="64" t="n"/>
      <c r="B17" s="63" t="n"/>
      <c r="C17" s="62" t="inlineStr">
        <is>
          <t>A/C No: 018.137.261.4117 Bank for Foreign Trade of VietNam (Vietcombank), Nam SaiGon branch</t>
        </is>
      </c>
      <c r="K17" s="58" t="n"/>
    </row>
    <row r="18" ht="15.75" customHeight="1" thickBot="1">
      <c r="A18" s="64" t="n"/>
      <c r="B18" s="63" t="n"/>
      <c r="C18" s="62" t="inlineStr">
        <is>
          <t>Swift Code: BFTVVNVX018 ; Tel: 84.8.5413.5124 ; Fax: 84.8.5413.5127</t>
        </is>
      </c>
      <c r="K18" s="58" t="n"/>
    </row>
    <row r="19">
      <c r="A19" s="57" t="inlineStr">
        <is>
          <t>ITEM
No.</t>
        </is>
      </c>
      <c r="B19" s="56" t="inlineStr">
        <is>
          <t>PRODUCT DESCRIPTION</t>
        </is>
      </c>
      <c r="C19" s="56" t="inlineStr">
        <is>
          <t>SIZE (cm)</t>
        </is>
      </c>
      <c r="D19" s="55" t="n"/>
      <c r="E19" s="54" t="n"/>
      <c r="F19" s="56" t="inlineStr">
        <is>
          <t>QUANTITY</t>
        </is>
      </c>
      <c r="G19" s="55" t="n"/>
      <c r="H19" s="54" t="n"/>
      <c r="I19" s="53" t="inlineStr">
        <is>
          <t>UNIT PRICE</t>
        </is>
      </c>
      <c r="J19" s="53" t="inlineStr">
        <is>
          <t>TOTAL PRICE
FOB</t>
        </is>
      </c>
      <c r="K19" s="52" t="inlineStr">
        <is>
          <t>NOTE</t>
        </is>
      </c>
    </row>
    <row r="20">
      <c r="A20" s="51" t="n"/>
      <c r="B20" s="47" t="n"/>
      <c r="C20" s="48" t="inlineStr">
        <is>
          <t>L</t>
        </is>
      </c>
      <c r="D20" s="48" t="inlineStr">
        <is>
          <t>W</t>
        </is>
      </c>
      <c r="E20" s="48" t="inlineStr">
        <is>
          <t>H</t>
        </is>
      </c>
      <c r="F20" s="50">
        <f>[1]PackingList!F16</f>
        <v/>
      </c>
      <c r="G20" s="49" t="n"/>
      <c r="H20" s="48" t="inlineStr">
        <is>
          <t>Containers</t>
        </is>
      </c>
      <c r="I20" s="47" t="n"/>
      <c r="J20" s="47" t="n"/>
      <c r="K20" s="46" t="n"/>
    </row>
    <row r="21" ht="86.25" customHeight="1">
      <c r="A21" s="43" t="inlineStr">
        <is>
          <t>1</t>
        </is>
      </c>
      <c r="B21" s="45" t="inlineStr">
        <is>
          <t>Black Basalt Cubic Hand split (Packing in wooden crate)</t>
        </is>
      </c>
      <c r="C21" s="43" t="n">
        <v>10</v>
      </c>
      <c r="D21" s="43" t="n">
        <v>10</v>
      </c>
      <c r="E21" s="43" t="n">
        <v>8</v>
      </c>
      <c r="F21" s="44" t="n">
        <v>28.05</v>
      </c>
      <c r="G21" s="43" t="inlineStr">
        <is>
          <t>TONS</t>
        </is>
      </c>
      <c r="H21" s="42" t="n">
        <v>1</v>
      </c>
      <c r="I21" s="41" t="inlineStr">
        <is>
          <t>114.0 USD/TON</t>
        </is>
      </c>
      <c r="J21" s="40" t="n">
        <v>3197.7</v>
      </c>
      <c r="K21" s="39" t="inlineStr">
        <is>
          <t>11/A-X27/23 (2301205)</t>
        </is>
      </c>
    </row>
    <row r="22" ht="86.25" customHeight="1">
      <c r="A22" s="43" t="inlineStr">
        <is>
          <t>2</t>
        </is>
      </c>
      <c r="B22" s="45" t="inlineStr">
        <is>
          <t>Black Basalt Cubes   All side handmade</t>
        </is>
      </c>
      <c r="C22" s="43" t="n">
        <v>15</v>
      </c>
      <c r="D22" s="43" t="n">
        <v>15</v>
      </c>
      <c r="E22" s="43" t="n">
        <v>15</v>
      </c>
      <c r="F22" s="44" t="n">
        <v>28.17</v>
      </c>
      <c r="G22" s="43" t="inlineStr">
        <is>
          <t>TONS</t>
        </is>
      </c>
      <c r="H22" s="42" t="n">
        <v>2</v>
      </c>
      <c r="I22" s="41" t="inlineStr">
        <is>
          <t>112.13 USD/TON</t>
        </is>
      </c>
      <c r="J22" s="40" t="n">
        <v>3158.7</v>
      </c>
      <c r="K22" s="39" t="inlineStr">
        <is>
          <t>11/A-X27/23 (2301205)</t>
        </is>
      </c>
    </row>
    <row r="23" ht="86.25" customHeight="1">
      <c r="A23" s="43" t="inlineStr">
        <is>
          <t>3</t>
        </is>
      </c>
      <c r="B23" s="45" t="inlineStr">
        <is>
          <t>Black Basalt Cubes   All side handmade</t>
        </is>
      </c>
      <c r="C23" s="43" t="n">
        <v>15</v>
      </c>
      <c r="D23" s="43" t="n">
        <v>15</v>
      </c>
      <c r="E23" s="43" t="n">
        <v>15</v>
      </c>
      <c r="F23" s="44" t="n">
        <v>28.17</v>
      </c>
      <c r="G23" s="43" t="inlineStr">
        <is>
          <t>TONS</t>
        </is>
      </c>
      <c r="H23" s="42" t="n">
        <v>3</v>
      </c>
      <c r="I23" s="41" t="inlineStr">
        <is>
          <t>112.13 USD/TON</t>
        </is>
      </c>
      <c r="J23" s="40" t="n">
        <v>3158.7</v>
      </c>
      <c r="K23" s="39"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73" t="n"/>
      <c r="C24" s="73" t="n"/>
      <c r="D24" s="73" t="n"/>
      <c r="E24" s="73" t="n"/>
      <c r="F24" s="73" t="n"/>
      <c r="G24" s="49" t="n"/>
      <c r="H24" s="23" t="inlineStr">
        <is>
          <t>SUBTOTAL</t>
        </is>
      </c>
      <c r="I24" s="22" t="inlineStr">
        <is>
          <t>9515.1</t>
        </is>
      </c>
      <c r="J24" s="21" t="n"/>
      <c r="K24" s="20" t="n"/>
    </row>
    <row r="25" ht="36" customHeight="1">
      <c r="A25" s="71" t="n"/>
      <c r="G25" s="69" t="n"/>
      <c r="H25" s="23" t="inlineStr">
        <is>
          <t>Fumigation</t>
        </is>
      </c>
      <c r="I25" s="35" t="inlineStr">
        <is>
          <t>Included</t>
        </is>
      </c>
      <c r="J25" s="21" t="n"/>
      <c r="K25" s="20" t="n"/>
    </row>
    <row r="26" ht="43.5" customHeight="1">
      <c r="A26" s="71" t="n"/>
      <c r="G26" s="69" t="n"/>
      <c r="H26" s="28" t="inlineStr">
        <is>
          <t>Deduct: Deposit of PI 11/A-X27/23</t>
        </is>
      </c>
      <c r="I26" s="22" t="inlineStr">
        <is>
          <t>2,854.64</t>
        </is>
      </c>
      <c r="J26" s="21" t="n"/>
      <c r="K26" s="20" t="n"/>
    </row>
    <row r="27" ht="33.75" customHeight="1">
      <c r="A27" s="71" t="n"/>
      <c r="G27" s="69" t="n"/>
      <c r="H27" s="28" t="n"/>
      <c r="I27" s="22" t="inlineStr">
        <is>
          <t>{{Refund_Amount__c\# #,##0.##}} {{TableEnd:Shipment__c.r.Cases__r}}</t>
        </is>
      </c>
      <c r="J27" s="21" t="n"/>
      <c r="K27" s="20" t="n"/>
    </row>
    <row r="28">
      <c r="A28" s="67" t="n"/>
      <c r="B28" s="66" t="n"/>
      <c r="C28" s="66" t="n"/>
      <c r="D28" s="66" t="n"/>
      <c r="E28" s="66" t="n"/>
      <c r="F28" s="66" t="n"/>
      <c r="G28" s="68" t="n"/>
      <c r="H28" s="28" t="n"/>
      <c r="I28" s="22" t="n"/>
      <c r="J28" s="21" t="n"/>
      <c r="K28" s="20" t="n"/>
    </row>
    <row r="29">
      <c r="A29" s="24" t="inlineStr">
        <is>
          <t xml:space="preserve">In words:
</t>
        </is>
      </c>
      <c r="B29" s="21" t="n"/>
      <c r="C29" s="21" t="n"/>
      <c r="D29" s="21" t="n"/>
      <c r="E29" s="21" t="n"/>
      <c r="F29" s="21" t="n"/>
      <c r="G29" s="20" t="n"/>
      <c r="H29" s="23" t="inlineStr">
        <is>
          <t>BALANCE:</t>
        </is>
      </c>
      <c r="I29" s="22" t="inlineStr">
        <is>
          <t>6660.46</t>
        </is>
      </c>
      <c r="J29" s="21" t="n"/>
      <c r="K29" s="20" t="n"/>
    </row>
    <row r="30">
      <c r="A30" s="19" t="n"/>
      <c r="B30" s="19" t="n"/>
      <c r="C30" s="19" t="n"/>
      <c r="D30" s="19" t="n"/>
      <c r="E30" s="19" t="n"/>
      <c r="F30" s="19" t="n"/>
      <c r="G30" s="19" t="n"/>
      <c r="H30" s="18" t="n"/>
      <c r="I30" s="17" t="n"/>
      <c r="J30" s="17" t="n"/>
      <c r="K30" s="17" t="n"/>
    </row>
    <row r="31">
      <c r="A31" s="59" t="n"/>
      <c r="B31" s="59" t="n"/>
      <c r="C31" s="59" t="n"/>
      <c r="D31" s="59" t="n"/>
      <c r="E31" s="59" t="n"/>
      <c r="F31" s="61" t="n"/>
      <c r="G31" s="59" t="n"/>
      <c r="H31" s="16" t="inlineStr">
        <is>
          <t>FOR AND ON BEHALF OF SELLER</t>
        </is>
      </c>
    </row>
    <row r="32">
      <c r="A32" s="59" t="n"/>
      <c r="B32" s="59" t="n"/>
      <c r="C32" s="59" t="n"/>
      <c r="D32" s="59" t="n"/>
      <c r="E32" s="59" t="n"/>
      <c r="F32" s="61" t="n"/>
      <c r="G32" s="59" t="n"/>
      <c r="H32" s="15" t="inlineStr">
        <is>
          <t>A PLUS MINERAL MATERIAL CORPORATION</t>
        </is>
      </c>
    </row>
    <row r="33">
      <c r="A33" s="59" t="n"/>
      <c r="B33" s="59" t="n"/>
      <c r="C33" s="59" t="n"/>
      <c r="D33" s="59" t="n"/>
      <c r="E33" s="59" t="n"/>
      <c r="F33" s="61" t="n"/>
      <c r="G33" s="59" t="n"/>
      <c r="H33" s="15" t="n"/>
      <c r="I33" s="15" t="n"/>
      <c r="J33" s="15" t="n"/>
      <c r="K33" s="15" t="n"/>
    </row>
    <row r="34">
      <c r="A34" s="59" t="n"/>
      <c r="B34" s="59" t="n"/>
      <c r="C34" s="59" t="n"/>
      <c r="D34" s="59" t="n"/>
      <c r="E34" s="59" t="n"/>
      <c r="F34" s="61" t="n"/>
      <c r="G34" s="59" t="n"/>
      <c r="H34" s="15" t="n"/>
      <c r="I34" s="15" t="n"/>
      <c r="J34" s="15" t="n"/>
      <c r="K34" s="15" t="n"/>
    </row>
    <row r="35">
      <c r="A35" s="59" t="n"/>
      <c r="B35" s="59" t="n"/>
      <c r="C35" s="59" t="n"/>
      <c r="D35" s="59" t="n"/>
      <c r="E35" s="59" t="n"/>
      <c r="F35" s="61" t="n"/>
      <c r="G35" s="59" t="n"/>
      <c r="H35" s="15" t="n"/>
      <c r="I35" s="15" t="n"/>
      <c r="J35" s="15" t="n"/>
      <c r="K35" s="15" t="n"/>
    </row>
    <row r="36">
      <c r="A36" s="59" t="n"/>
      <c r="B36" s="59" t="n"/>
      <c r="C36" s="59" t="n"/>
      <c r="D36" s="59" t="n"/>
      <c r="E36" s="59" t="n"/>
      <c r="F36" s="61" t="n"/>
      <c r="G36" s="59" t="n"/>
      <c r="H36" s="15" t="n"/>
      <c r="I36" s="15" t="n"/>
      <c r="J36" s="15" t="n"/>
      <c r="K36" s="15" t="n"/>
    </row>
    <row r="37">
      <c r="A37" s="59" t="n"/>
      <c r="B37" s="59" t="n"/>
      <c r="C37" s="59" t="n"/>
      <c r="D37" s="59" t="n"/>
      <c r="E37" s="59" t="n"/>
      <c r="F37" s="61" t="n"/>
      <c r="G37" s="59" t="n"/>
      <c r="H37" s="15" t="n"/>
      <c r="I37" s="15" t="n"/>
      <c r="J37" s="15" t="n"/>
      <c r="K37" s="15" t="n"/>
    </row>
    <row r="38">
      <c r="A38" s="59" t="n"/>
      <c r="B38" s="59" t="n"/>
      <c r="C38" s="59" t="n"/>
      <c r="D38" s="59" t="n"/>
      <c r="E38" s="59" t="n"/>
      <c r="F38" s="61" t="n"/>
      <c r="G38" s="59" t="n"/>
      <c r="H38" s="15" t="n"/>
      <c r="I38" s="15" t="n"/>
      <c r="J38" s="15" t="n"/>
      <c r="K38" s="15" t="n"/>
    </row>
    <row r="39">
      <c r="A39" s="59" t="n"/>
      <c r="B39" s="59" t="n"/>
      <c r="C39" s="59" t="n"/>
      <c r="D39" s="59" t="n"/>
      <c r="E39" s="59" t="n"/>
      <c r="F39" s="61" t="n"/>
      <c r="G39" s="59" t="n"/>
      <c r="H39" s="15" t="n"/>
      <c r="I39" s="15" t="n"/>
      <c r="J39" s="15" t="n"/>
      <c r="K39" s="15" t="n"/>
    </row>
    <row r="40">
      <c r="A40" s="59" t="n"/>
      <c r="B40" s="59" t="n"/>
      <c r="C40" s="59" t="n"/>
      <c r="D40" s="59" t="n"/>
      <c r="E40" s="59" t="n"/>
      <c r="F40" s="61" t="n"/>
      <c r="G40" s="59" t="n"/>
      <c r="H40" s="15" t="n"/>
      <c r="I40" s="15" t="n"/>
      <c r="J40" s="15" t="n"/>
      <c r="K40" s="15" t="n"/>
    </row>
    <row r="41" ht="15.75" customHeight="1">
      <c r="A41" s="59" t="n"/>
      <c r="B41" s="59" t="n"/>
      <c r="C41" s="59" t="n"/>
      <c r="D41" s="59" t="n"/>
      <c r="E41" s="14" t="n"/>
      <c r="F41" s="13" t="n"/>
      <c r="G41" s="59" t="n"/>
      <c r="H41" s="59" t="n"/>
      <c r="I41" s="60" t="n"/>
      <c r="J41" s="59" t="n"/>
      <c r="K41" s="15" t="n"/>
    </row>
    <row r="42" ht="15.75" customHeight="1">
      <c r="A42" s="59" t="n"/>
      <c r="B42" s="59" t="n"/>
      <c r="C42" s="59" t="n"/>
      <c r="D42" s="59" t="n"/>
      <c r="E42" s="59" t="n"/>
      <c r="F42" s="61" t="n"/>
      <c r="G42" s="59" t="n"/>
      <c r="H42" s="59" t="n"/>
      <c r="I42" s="60" t="n"/>
      <c r="J42" s="59" t="n"/>
      <c r="K42" s="15" t="n"/>
    </row>
    <row r="43" ht="15.75" customHeight="1">
      <c r="A43" s="59" t="n"/>
      <c r="B43" s="59" t="n"/>
      <c r="C43" s="59" t="n"/>
      <c r="D43" s="59" t="n"/>
      <c r="E43" s="59" t="n"/>
      <c r="F43" s="61" t="n"/>
      <c r="G43" s="59" t="n"/>
      <c r="H43" s="10" t="inlineStr">
        <is>
          <t>TRAN ANH HOANG</t>
        </is>
      </c>
    </row>
    <row r="44">
      <c r="A44" s="59" t="n"/>
      <c r="B44" s="59" t="n"/>
      <c r="C44" s="59" t="n"/>
      <c r="D44" s="59" t="n"/>
      <c r="E44" s="59" t="n"/>
      <c r="F44" s="61" t="n"/>
      <c r="G44" s="59" t="n"/>
      <c r="H44" s="10" t="n"/>
      <c r="I44" s="10" t="n"/>
      <c r="J44" s="10" t="n"/>
      <c r="K44" s="10" t="n"/>
    </row>
    <row r="45">
      <c r="A45" s="59" t="n"/>
      <c r="B45" s="59" t="n"/>
      <c r="C45" s="59" t="n"/>
      <c r="D45" s="59" t="n"/>
      <c r="E45" s="59" t="n"/>
      <c r="F45" s="61" t="n"/>
      <c r="G45" s="59" t="n"/>
      <c r="H45" s="10" t="n"/>
      <c r="I45" s="10" t="n"/>
      <c r="J45" s="10" t="n"/>
      <c r="K45" s="10"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A6:B6"/>
    <mergeCell ref="H13:K15"/>
    <mergeCell ref="C11:H11"/>
    <mergeCell ref="I24:K24"/>
    <mergeCell ref="A7:B7"/>
    <mergeCell ref="I7:J7"/>
    <mergeCell ref="G10:H10"/>
    <mergeCell ref="F20:G20"/>
    <mergeCell ref="C8:H8"/>
    <mergeCell ref="C17:K17"/>
    <mergeCell ref="H43:K43"/>
    <mergeCell ref="B19:B20"/>
    <mergeCell ref="I29:K29"/>
    <mergeCell ref="C7:H7"/>
    <mergeCell ref="C19:E19"/>
    <mergeCell ref="A3:K3"/>
    <mergeCell ref="H31:K31"/>
    <mergeCell ref="A24:G28"/>
    <mergeCell ref="A2:K2"/>
    <mergeCell ref="C18:K18"/>
    <mergeCell ref="A14:B14"/>
    <mergeCell ref="I5:J5"/>
    <mergeCell ref="I8:J8"/>
    <mergeCell ref="C10:F10"/>
    <mergeCell ref="I19:I20"/>
    <mergeCell ref="A8:B8"/>
    <mergeCell ref="K19:K20"/>
    <mergeCell ref="A19:A20"/>
    <mergeCell ref="I11:K11"/>
    <mergeCell ref="C9:F9"/>
    <mergeCell ref="C6:H6"/>
    <mergeCell ref="A4:K4"/>
    <mergeCell ref="F19:H19"/>
    <mergeCell ref="I27:K27"/>
    <mergeCell ref="C5:H5"/>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2025-11-26T01:44:55Z</dcterms:modified>
  <cp:lastModifiedBy>Nguyễn Hữu Vĩnh Nghi</cp:lastModifiedBy>
  <cp:lastPrinted>2025-11-25T09:59:59Z</cp:lastPrinted>
</cp:coreProperties>
</file>