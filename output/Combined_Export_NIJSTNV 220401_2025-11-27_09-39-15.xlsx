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cking List" sheetId="1" state="visible" r:id="rId1"/>
    <sheet xmlns:r="http://schemas.openxmlformats.org/officeDocument/2006/relationships" name="Invoice" sheetId="2" state="visible" r:id="rId2"/>
  </sheets>
  <definedNames/>
  <calcPr calcId="124519" fullCalcOnLoad="1"/>
</workbook>
</file>

<file path=xl/styles.xml><?xml version="1.0" encoding="utf-8"?>
<styleSheet xmlns="http://schemas.openxmlformats.org/spreadsheetml/2006/main">
  <numFmts count="7">
    <numFmt numFmtId="164" formatCode="_(* #,##0_);_(* \(#,##0\);_(* &quot;-&quot;??_);_(@_)"/>
    <numFmt numFmtId="165" formatCode="0.00;[Red]0.00"/>
    <numFmt numFmtId="166" formatCode="[$-409]mmmm\ d\,\ yyyy;@"/>
    <numFmt numFmtId="167" formatCode="0\ &quot;pcs/crate&quot;"/>
    <numFmt numFmtId="168" formatCode="#,##0.0"/>
    <numFmt numFmtId="169" formatCode="0.0"/>
    <numFmt numFmtId="170" formatCode="0.00\ &quot;usd/ton&quot;"/>
  </numFmts>
  <fonts count="24">
    <font>
      <name val="Calibri"/>
      <family val="2"/>
      <color theme="1"/>
      <sz val="11"/>
      <scheme val="minor"/>
    </font>
    <font>
      <name val="Arial"/>
      <family val="2"/>
      <b val="1"/>
      <sz val="12"/>
    </font>
    <font>
      <name val="Arial"/>
      <family val="2"/>
      <sz val="12"/>
    </font>
    <font>
      <name val="Arial"/>
      <family val="2"/>
      <sz val="11"/>
    </font>
    <font>
      <name val="Times New Roman"/>
      <family val="1"/>
      <b val="1"/>
      <i val="1"/>
      <sz val="12"/>
    </font>
    <font>
      <name val="Arial"/>
      <family val="2"/>
      <b val="1"/>
      <sz val="20"/>
    </font>
    <font>
      <name val="Arial"/>
      <family val="2"/>
      <b val="1"/>
      <sz val="10"/>
      <u val="single"/>
    </font>
    <font>
      <name val="Arial"/>
      <family val="2"/>
      <b val="1"/>
      <sz val="11"/>
    </font>
    <font>
      <name val="Arial"/>
      <family val="2"/>
      <b val="1"/>
      <sz val="10"/>
    </font>
    <font>
      <name val="Arial"/>
      <family val="2"/>
      <b val="1"/>
      <color indexed="12"/>
      <sz val="11"/>
    </font>
    <font>
      <name val="Arial"/>
      <family val="2"/>
      <sz val="10"/>
    </font>
    <font>
      <name val="Arial"/>
      <family val="2"/>
      <b val="1"/>
      <color theme="0"/>
      <sz val="11"/>
    </font>
    <font>
      <name val="Arial"/>
      <family val="2"/>
      <color theme="0"/>
      <sz val="11"/>
    </font>
    <font>
      <name val="Arial"/>
      <family val="2"/>
      <color theme="1"/>
      <sz val="11"/>
    </font>
    <font>
      <name val="Arial"/>
      <family val="2"/>
      <b val="1"/>
      <color theme="1"/>
      <sz val="11"/>
    </font>
    <font>
      <name val="Arial"/>
      <family val="2"/>
      <color theme="1"/>
      <sz val="10"/>
    </font>
    <font>
      <name val="Times New Roman"/>
      <family val="1"/>
      <i val="1"/>
      <sz val="10"/>
    </font>
    <font>
      <name val="Times New Roman"/>
      <family val="1"/>
      <b val="1"/>
      <i val="1"/>
      <sz val="10"/>
    </font>
    <font>
      <name val="Arial"/>
      <family val="2"/>
      <i val="1"/>
      <sz val="10"/>
    </font>
    <font>
      <name val="Arial"/>
      <family val="2"/>
      <b val="1"/>
      <sz val="11"/>
      <u val="single"/>
    </font>
    <font>
      <name val="Arial"/>
      <family val="2"/>
      <b val="1"/>
      <color indexed="9"/>
      <sz val="10"/>
    </font>
    <font>
      <name val="Arial"/>
      <family val="2"/>
      <color indexed="9"/>
      <sz val="10"/>
    </font>
    <font>
      <name val="Arial"/>
      <family val="2"/>
      <b val="1"/>
      <color rgb="FFFF0000"/>
      <sz val="11"/>
    </font>
    <font>
      <name val="Arial"/>
      <family val="2"/>
      <b val="1"/>
      <color indexed="12"/>
      <sz val="10"/>
    </font>
  </fonts>
  <fills count="3">
    <fill>
      <patternFill/>
    </fill>
    <fill>
      <patternFill patternType="gray125"/>
    </fill>
    <fill>
      <patternFill patternType="solid">
        <fgColor indexed="63"/>
        <bgColor indexed="64"/>
      </patternFill>
    </fill>
  </fills>
  <borders count="46">
    <border>
      <left/>
      <right/>
      <top/>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medium">
        <color indexed="64"/>
      </left>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medium">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74">
    <xf numFmtId="0" fontId="0" fillId="0" borderId="0" pivotButton="0" quotePrefix="0" xfId="0"/>
    <xf numFmtId="0" fontId="1" fillId="0" borderId="0" pivotButton="0" quotePrefix="0" xfId="0"/>
    <xf numFmtId="164" fontId="2" fillId="0" borderId="0" applyAlignment="1" pivotButton="0" quotePrefix="0" xfId="0">
      <alignment horizontal="right"/>
    </xf>
    <xf numFmtId="165" fontId="2" fillId="0" borderId="0" applyAlignment="1" pivotButton="0" quotePrefix="0" xfId="0">
      <alignment horizontal="center"/>
    </xf>
    <xf numFmtId="0" fontId="2" fillId="0" borderId="0" applyAlignment="1" pivotButton="0" quotePrefix="0" xfId="0">
      <alignment horizontal="center"/>
    </xf>
    <xf numFmtId="0" fontId="2" fillId="0" borderId="0" applyAlignment="1" pivotButton="0" quotePrefix="0" xfId="0">
      <alignment horizontal="center" vertical="center"/>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applyAlignment="1" pivotButton="0" quotePrefix="0" xfId="0">
      <alignment horizontal="center" vertical="center"/>
    </xf>
    <xf numFmtId="0" fontId="6" fillId="0" borderId="1" applyAlignment="1" pivotButton="0" quotePrefix="0" xfId="0">
      <alignment horizontal="left" vertical="center"/>
    </xf>
    <xf numFmtId="0" fontId="0" fillId="0" borderId="2" pivotButton="0" quotePrefix="0" xfId="0"/>
    <xf numFmtId="0" fontId="3" fillId="0" borderId="3" applyAlignment="1" pivotButton="0" quotePrefix="0" xfId="0">
      <alignment horizontal="left" vertical="center" wrapText="1"/>
    </xf>
    <xf numFmtId="0" fontId="0" fillId="0" borderId="4" pivotButton="0" quotePrefix="0" xfId="0"/>
    <xf numFmtId="0" fontId="7" fillId="0" borderId="5" applyAlignment="1" pivotButton="0" quotePrefix="0" xfId="0">
      <alignment horizontal="left" vertical="center" wrapText="1"/>
    </xf>
    <xf numFmtId="0" fontId="3" fillId="0" borderId="6" applyAlignment="1" pivotButton="0" quotePrefix="0" xfId="0">
      <alignment horizontal="center" vertical="center" wrapText="1"/>
    </xf>
    <xf numFmtId="0" fontId="8" fillId="0" borderId="7" applyAlignment="1" pivotButton="0" quotePrefix="0" xfId="0">
      <alignment horizontal="left" vertical="center" wrapText="1"/>
    </xf>
    <xf numFmtId="0" fontId="0" fillId="0" borderId="8" pivotButton="0" quotePrefix="0" xfId="0"/>
    <xf numFmtId="15" fontId="9" fillId="0" borderId="9" applyAlignment="1" pivotButton="0" quotePrefix="0" xfId="0">
      <alignment horizontal="left" vertical="center" wrapText="1"/>
    </xf>
    <xf numFmtId="0" fontId="0" fillId="0" borderId="10" pivotButton="0" quotePrefix="0" xfId="0"/>
    <xf numFmtId="0" fontId="0" fillId="0" borderId="11" pivotButton="0" quotePrefix="0" xfId="0"/>
    <xf numFmtId="166" fontId="7" fillId="0" borderId="12" applyAlignment="1" pivotButton="0" quotePrefix="0" xfId="0">
      <alignment horizontal="left" vertical="center" wrapText="1"/>
    </xf>
    <xf numFmtId="166" fontId="9" fillId="0" borderId="13" applyAlignment="1" pivotButton="0" quotePrefix="0" xfId="0">
      <alignment horizontal="center" vertical="center" wrapText="1"/>
    </xf>
    <xf numFmtId="0" fontId="10" fillId="0" borderId="7" applyAlignment="1" pivotButton="0" quotePrefix="0" xfId="0">
      <alignment horizontal="left" vertical="top" wrapText="1"/>
    </xf>
    <xf numFmtId="0" fontId="3" fillId="0" borderId="14" applyAlignment="1" pivotButton="0" quotePrefix="0" xfId="0">
      <alignment horizontal="left" vertical="center" wrapText="1"/>
    </xf>
    <xf numFmtId="0" fontId="3" fillId="0" borderId="15" applyAlignment="1" pivotButton="0" quotePrefix="0" xfId="0">
      <alignment horizontal="left" vertical="center" wrapText="1"/>
    </xf>
    <xf numFmtId="0" fontId="0" fillId="0" borderId="16" pivotButton="0" quotePrefix="0" xfId="0"/>
    <xf numFmtId="0" fontId="7" fillId="0" borderId="17" applyAlignment="1" pivotButton="0" quotePrefix="0" xfId="0">
      <alignment horizontal="center" vertical="center" wrapText="1"/>
    </xf>
    <xf numFmtId="0" fontId="10" fillId="0" borderId="7" applyAlignment="1" pivotButton="0" quotePrefix="0" xfId="0">
      <alignment horizontal="left" vertical="center" wrapText="1"/>
    </xf>
    <xf numFmtId="0" fontId="9" fillId="0" borderId="14" applyAlignment="1" pivotButton="0" quotePrefix="0" xfId="0">
      <alignment horizontal="left" vertical="center" wrapText="1"/>
    </xf>
    <xf numFmtId="0" fontId="9" fillId="0" borderId="12" applyAlignment="1" pivotButton="0" quotePrefix="0" xfId="0">
      <alignment horizontal="center" vertical="center" wrapText="1"/>
    </xf>
    <xf numFmtId="0" fontId="10" fillId="0" borderId="18" applyAlignment="1" pivotButton="0" quotePrefix="0" xfId="0">
      <alignment vertical="center"/>
    </xf>
    <xf numFmtId="0" fontId="10" fillId="0" borderId="8" applyAlignment="1" pivotButton="0" quotePrefix="0" xfId="0">
      <alignment vertical="center"/>
    </xf>
    <xf numFmtId="0" fontId="3" fillId="0" borderId="19" applyAlignment="1" pivotButton="0" quotePrefix="0" xfId="0">
      <alignment horizontal="left" vertical="center"/>
    </xf>
    <xf numFmtId="0" fontId="0" fillId="0" borderId="20" pivotButton="0" quotePrefix="0" xfId="0"/>
    <xf numFmtId="0" fontId="3" fillId="0" borderId="21" applyAlignment="1" pivotButton="0" quotePrefix="0" xfId="0">
      <alignment horizontal="left" vertical="center" wrapText="1"/>
    </xf>
    <xf numFmtId="0" fontId="0" fillId="0" borderId="22" pivotButton="0" quotePrefix="0" xfId="0"/>
    <xf numFmtId="0" fontId="3" fillId="0" borderId="23" applyAlignment="1" pivotButton="0" quotePrefix="0" xfId="0">
      <alignment horizontal="left" vertical="center"/>
    </xf>
    <xf numFmtId="0" fontId="9" fillId="0" borderId="9" applyAlignment="1" pivotButton="0" quotePrefix="0" xfId="0">
      <alignment horizontal="left" vertical="center" wrapText="1"/>
    </xf>
    <xf numFmtId="0" fontId="9" fillId="0" borderId="9" applyAlignment="1" pivotButton="0" quotePrefix="0" xfId="0">
      <alignment horizontal="center" vertical="center" wrapText="1"/>
    </xf>
    <xf numFmtId="0" fontId="0" fillId="0" borderId="12" pivotButton="0" quotePrefix="0" xfId="0"/>
    <xf numFmtId="0" fontId="0" fillId="0" borderId="24" pivotButton="0" quotePrefix="0" xfId="0"/>
    <xf numFmtId="0" fontId="8" fillId="0" borderId="25" applyAlignment="1" pivotButton="0" quotePrefix="0" xfId="0">
      <alignment horizontal="left" vertical="center" wrapText="1"/>
    </xf>
    <xf numFmtId="0" fontId="3" fillId="0" borderId="17" applyAlignment="1" pivotButton="0" quotePrefix="0" xfId="0">
      <alignment horizontal="left" vertical="center"/>
    </xf>
    <xf numFmtId="0" fontId="0" fillId="0" borderId="18" pivotButton="0" quotePrefix="0" xfId="0"/>
    <xf numFmtId="166" fontId="7" fillId="0" borderId="14" applyAlignment="1" pivotButton="0" quotePrefix="0" xfId="0">
      <alignment horizontal="left" vertical="center"/>
    </xf>
    <xf numFmtId="166" fontId="7" fillId="0" borderId="26" applyAlignment="1" pivotButton="0" quotePrefix="0" xfId="0">
      <alignment horizontal="left" vertical="center"/>
    </xf>
    <xf numFmtId="0" fontId="0" fillId="0" borderId="27" pivotButton="0" quotePrefix="0" xfId="0"/>
    <xf numFmtId="0" fontId="3" fillId="0" borderId="28" applyAlignment="1" pivotButton="0" quotePrefix="0" xfId="0">
      <alignment horizontal="left" vertical="center"/>
    </xf>
    <xf numFmtId="0" fontId="0" fillId="0" borderId="29" pivotButton="0" quotePrefix="0" xfId="0"/>
    <xf numFmtId="166" fontId="7" fillId="0" borderId="30" applyAlignment="1" pivotButton="0" quotePrefix="0" xfId="0">
      <alignment horizontal="left" vertical="center"/>
    </xf>
    <xf numFmtId="166" fontId="7" fillId="0" borderId="29" applyAlignment="1" pivotButton="0" quotePrefix="0" xfId="0">
      <alignment horizontal="left" vertical="center"/>
    </xf>
    <xf numFmtId="164" fontId="7" fillId="0" borderId="29" applyAlignment="1" pivotButton="0" quotePrefix="0" xfId="0">
      <alignment horizontal="left" vertical="center"/>
    </xf>
    <xf numFmtId="165" fontId="7" fillId="0" borderId="31" applyAlignment="1" pivotButton="0" quotePrefix="0" xfId="0">
      <alignment horizontal="left" vertical="center"/>
    </xf>
    <xf numFmtId="166" fontId="7" fillId="0" borderId="32" applyAlignment="1" pivotButton="0" quotePrefix="0" xfId="0">
      <alignment horizontal="center" vertical="center"/>
    </xf>
    <xf numFmtId="0" fontId="11" fillId="2" borderId="33" applyAlignment="1" pivotButton="0" quotePrefix="0" xfId="0">
      <alignment horizontal="center" vertical="center" wrapText="1"/>
    </xf>
    <xf numFmtId="0" fontId="11" fillId="2" borderId="34" applyAlignment="1" pivotButton="0" quotePrefix="0" xfId="0">
      <alignment horizontal="center" vertical="center"/>
    </xf>
    <xf numFmtId="0" fontId="0" fillId="0" borderId="35" pivotButton="0" quotePrefix="0" xfId="0"/>
    <xf numFmtId="0" fontId="0" fillId="0" borderId="36" pivotButton="0" quotePrefix="0" xfId="0"/>
    <xf numFmtId="0" fontId="11" fillId="2" borderId="34" applyAlignment="1" pivotButton="0" quotePrefix="0" xfId="0">
      <alignment horizontal="center" vertical="center" wrapText="1"/>
    </xf>
    <xf numFmtId="0" fontId="11" fillId="2" borderId="37" applyAlignment="1" pivotButton="0" quotePrefix="0" xfId="0">
      <alignment horizontal="center" vertical="center" wrapText="1"/>
    </xf>
    <xf numFmtId="0" fontId="0" fillId="0" borderId="23" pivotButton="0" quotePrefix="0" xfId="0"/>
    <xf numFmtId="0" fontId="0" fillId="0" borderId="9" pivotButton="0" quotePrefix="0" xfId="0"/>
    <xf numFmtId="0" fontId="12" fillId="2" borderId="19" applyAlignment="1" pivotButton="0" quotePrefix="0" xfId="0">
      <alignment horizontal="center" vertical="center"/>
    </xf>
    <xf numFmtId="0" fontId="12" fillId="2" borderId="19" applyAlignment="1" pivotButton="0" quotePrefix="0" xfId="0">
      <alignment horizontal="center" vertical="center" wrapText="1"/>
    </xf>
    <xf numFmtId="165" fontId="12" fillId="2" borderId="19" applyAlignment="1" pivotButton="0" quotePrefix="0" xfId="0">
      <alignment horizontal="center" vertical="center"/>
    </xf>
    <xf numFmtId="0" fontId="11" fillId="2" borderId="19" applyAlignment="1" pivotButton="0" quotePrefix="0" xfId="0">
      <alignment vertical="center" wrapText="1"/>
    </xf>
    <xf numFmtId="0" fontId="0" fillId="0" borderId="13" pivotButton="0" quotePrefix="0" xfId="0"/>
    <xf numFmtId="0" fontId="13" fillId="0" borderId="38" applyAlignment="1" pivotButton="0" quotePrefix="0" xfId="0">
      <alignment horizontal="center" vertical="center" wrapText="1"/>
    </xf>
    <xf numFmtId="0" fontId="14" fillId="0" borderId="38" applyAlignment="1" pivotButton="0" quotePrefix="0" xfId="0">
      <alignment vertical="center" wrapText="1"/>
    </xf>
    <xf numFmtId="0" fontId="13" fillId="0" borderId="38" applyAlignment="1" pivotButton="0" quotePrefix="0" xfId="0">
      <alignment horizontal="center" vertical="center"/>
    </xf>
    <xf numFmtId="43" fontId="7" fillId="0" borderId="38" applyAlignment="1" pivotButton="0" quotePrefix="0" xfId="0">
      <alignment horizontal="center" vertical="center"/>
    </xf>
    <xf numFmtId="164" fontId="3" fillId="0" borderId="38" applyAlignment="1" pivotButton="0" quotePrefix="0" xfId="0">
      <alignment horizontal="center" vertical="center"/>
    </xf>
    <xf numFmtId="3" fontId="7" fillId="0" borderId="38" applyAlignment="1" pivotButton="0" quotePrefix="0" xfId="0">
      <alignment horizontal="center" vertical="center" wrapText="1"/>
    </xf>
    <xf numFmtId="167" fontId="15" fillId="0" borderId="38" applyAlignment="1" pivotButton="0" quotePrefix="0" xfId="0">
      <alignment horizontal="center" vertical="center" wrapText="1"/>
    </xf>
    <xf numFmtId="168" fontId="3" fillId="0" borderId="38" applyAlignment="1" pivotButton="0" quotePrefix="0" xfId="0">
      <alignment vertical="center"/>
    </xf>
    <xf numFmtId="3" fontId="3" fillId="0" borderId="38" applyAlignment="1" pivotButton="0" quotePrefix="0" xfId="0">
      <alignment vertical="center" wrapText="1"/>
    </xf>
    <xf numFmtId="3" fontId="3" fillId="0" borderId="38" applyAlignment="1" pivotButton="0" quotePrefix="0" xfId="0">
      <alignment vertical="center"/>
    </xf>
    <xf numFmtId="0" fontId="3" fillId="0" borderId="38" applyAlignment="1" pivotButton="0" quotePrefix="0" xfId="0">
      <alignment vertical="center" wrapText="1"/>
    </xf>
    <xf numFmtId="0" fontId="7" fillId="0" borderId="39" applyAlignment="1" pivotButton="0" quotePrefix="0" xfId="0">
      <alignment horizontal="center" vertical="center"/>
    </xf>
    <xf numFmtId="1" fontId="7" fillId="0" borderId="9" applyAlignment="1" pivotButton="0" quotePrefix="0" xfId="0">
      <alignment horizontal="center" vertical="center"/>
    </xf>
    <xf numFmtId="169" fontId="7" fillId="0" borderId="9" applyAlignment="1" pivotButton="0" quotePrefix="0" xfId="0">
      <alignment horizontal="center" vertical="center"/>
    </xf>
    <xf numFmtId="3" fontId="7" fillId="0" borderId="9" applyAlignment="1" pivotButton="0" quotePrefix="0" xfId="0">
      <alignment horizontal="center" vertical="center" wrapText="1"/>
    </xf>
    <xf numFmtId="3" fontId="7" fillId="0" borderId="9" applyAlignment="1" pivotButton="0" quotePrefix="0" xfId="0">
      <alignment horizontal="center" vertical="center"/>
    </xf>
    <xf numFmtId="1" fontId="7" fillId="0" borderId="13" applyAlignment="1" pivotButton="0" quotePrefix="0" xfId="0">
      <alignment horizontal="center" vertical="center"/>
    </xf>
    <xf numFmtId="0" fontId="0" fillId="0" borderId="28" pivotButton="0" quotePrefix="0" xfId="0"/>
    <xf numFmtId="0" fontId="0" fillId="0" borderId="31" pivotButton="0" quotePrefix="0" xfId="0"/>
    <xf numFmtId="165" fontId="3" fillId="0" borderId="40" applyAlignment="1" pivotButton="0" quotePrefix="0" xfId="0">
      <alignment horizontal="center" vertical="center"/>
    </xf>
    <xf numFmtId="168" fontId="3" fillId="0" borderId="40" applyAlignment="1" pivotButton="0" quotePrefix="0" xfId="0">
      <alignment horizontal="center" vertical="center"/>
    </xf>
    <xf numFmtId="4" fontId="3" fillId="0" borderId="40" applyAlignment="1" pivotButton="0" quotePrefix="0" xfId="0">
      <alignment horizontal="center" vertical="center"/>
    </xf>
    <xf numFmtId="0" fontId="3" fillId="0" borderId="41" applyAlignment="1" pivotButton="0" quotePrefix="0" xfId="0">
      <alignment horizontal="center" vertical="center" wrapText="1"/>
    </xf>
    <xf numFmtId="0" fontId="7" fillId="0" borderId="0" applyAlignment="1" pivotButton="0" quotePrefix="0" xfId="0">
      <alignment horizontal="center" vertical="center"/>
    </xf>
    <xf numFmtId="165" fontId="3" fillId="0" borderId="0" applyAlignment="1" pivotButton="0" quotePrefix="0" xfId="0">
      <alignment horizontal="center" vertical="center"/>
    </xf>
    <xf numFmtId="168" fontId="3" fillId="0" borderId="0" applyAlignment="1" pivotButton="0" quotePrefix="0" xfId="0">
      <alignment horizontal="center" vertical="center"/>
    </xf>
    <xf numFmtId="4" fontId="3" fillId="0" borderId="0" applyAlignment="1" pivotButton="0" quotePrefix="0" xfId="0">
      <alignment horizontal="center" vertical="center"/>
    </xf>
    <xf numFmtId="0" fontId="3" fillId="0" borderId="0" applyAlignment="1" pivotButton="0" quotePrefix="0" xfId="0">
      <alignment horizontal="center" vertical="center" wrapText="1"/>
    </xf>
    <xf numFmtId="164" fontId="3" fillId="0" borderId="0" applyAlignment="1" pivotButton="0" quotePrefix="0" xfId="0">
      <alignment horizontal="right"/>
    </xf>
    <xf numFmtId="0" fontId="7" fillId="0" borderId="0" applyAlignment="1" pivotButton="0" quotePrefix="0" xfId="0">
      <alignment horizontal="center"/>
    </xf>
    <xf numFmtId="0" fontId="3" fillId="0" borderId="0" pivotButton="0" quotePrefix="0" xfId="0"/>
    <xf numFmtId="0" fontId="3" fillId="0" borderId="0" applyAlignment="1" pivotButton="0" quotePrefix="0" xfId="0">
      <alignment horizontal="center"/>
    </xf>
    <xf numFmtId="0" fontId="10" fillId="0" borderId="0" applyAlignment="1" pivotButton="0" quotePrefix="0" xfId="0">
      <alignment horizontal="center"/>
    </xf>
    <xf numFmtId="0" fontId="1" fillId="0" borderId="0" applyAlignment="1" pivotButton="0" quotePrefix="0" xfId="0">
      <alignment horizontal="center"/>
    </xf>
    <xf numFmtId="0" fontId="10" fillId="0" borderId="0" pivotButton="0" quotePrefix="0" xfId="0"/>
    <xf numFmtId="164" fontId="10" fillId="0" borderId="0" applyAlignment="1" pivotButton="0" quotePrefix="0" xfId="0">
      <alignment horizontal="right"/>
    </xf>
    <xf numFmtId="165" fontId="10" fillId="0" borderId="0" applyAlignment="1" pivotButton="0" quotePrefix="0" xfId="0">
      <alignment horizontal="center"/>
    </xf>
    <xf numFmtId="0" fontId="10" fillId="0" borderId="0" applyAlignment="1" pivotButton="0" quotePrefix="0" xfId="0">
      <alignment horizontal="center" vertical="center"/>
    </xf>
    <xf numFmtId="0" fontId="16" fillId="0" borderId="0" pivotButton="0" quotePrefix="0" xfId="0"/>
    <xf numFmtId="0" fontId="16" fillId="0" borderId="0" applyAlignment="1" pivotButton="0" quotePrefix="0" xfId="0">
      <alignment horizontal="left"/>
    </xf>
    <xf numFmtId="164" fontId="17" fillId="0" borderId="0" applyAlignment="1" pivotButton="0" quotePrefix="0" xfId="0">
      <alignment horizontal="right"/>
    </xf>
    <xf numFmtId="165" fontId="16" fillId="0" borderId="0" applyAlignment="1" pivotButton="0" quotePrefix="0" xfId="0">
      <alignment horizontal="left"/>
    </xf>
    <xf numFmtId="0" fontId="16" fillId="0" borderId="0" applyAlignment="1" pivotButton="0" quotePrefix="0" xfId="0">
      <alignment horizontal="center"/>
    </xf>
    <xf numFmtId="164" fontId="16" fillId="0" borderId="0" applyAlignment="1" pivotButton="0" quotePrefix="0" xfId="0">
      <alignment horizontal="center" vertical="center"/>
    </xf>
    <xf numFmtId="0" fontId="16" fillId="0" borderId="0" applyAlignment="1" pivotButton="0" quotePrefix="0" xfId="0">
      <alignment horizontal="center" vertical="center"/>
    </xf>
    <xf numFmtId="0" fontId="18" fillId="0" borderId="0" applyAlignment="1" pivotButton="0" quotePrefix="0" xfId="0">
      <alignment horizontal="left"/>
    </xf>
    <xf numFmtId="164" fontId="1" fillId="0" borderId="0" applyAlignment="1" pivotButton="0" quotePrefix="0" xfId="0">
      <alignment horizontal="center"/>
    </xf>
    <xf numFmtId="0" fontId="2" fillId="0" borderId="0" pivotButton="0" quotePrefix="0" xfId="0"/>
    <xf numFmtId="0" fontId="2" fillId="0" borderId="0" applyAlignment="1" pivotButton="0" quotePrefix="0" xfId="0">
      <alignment horizontal="right"/>
    </xf>
    <xf numFmtId="0" fontId="7" fillId="0" borderId="0" applyAlignment="1" pivotButton="0" quotePrefix="0" xfId="0">
      <alignment horizontal="left" vertical="top" wrapText="1"/>
    </xf>
    <xf numFmtId="0" fontId="19" fillId="0" borderId="1" applyAlignment="1" applyProtection="1" pivotButton="0" quotePrefix="0" xfId="0">
      <alignment vertical="center"/>
      <protection locked="0" hidden="0"/>
    </xf>
    <xf numFmtId="0" fontId="19" fillId="0" borderId="2" applyAlignment="1" applyProtection="1" pivotButton="0" quotePrefix="0" xfId="0">
      <alignment vertical="center"/>
      <protection locked="0" hidden="0"/>
    </xf>
    <xf numFmtId="0" fontId="3" fillId="0" borderId="3" applyAlignment="1" applyProtection="1" pivotButton="0" quotePrefix="0" xfId="0">
      <alignment horizontal="left" vertical="center" wrapText="1"/>
      <protection locked="0" hidden="0"/>
    </xf>
    <xf numFmtId="0" fontId="0" fillId="0" borderId="2" applyProtection="1" pivotButton="0" quotePrefix="0" xfId="0">
      <protection locked="0" hidden="0"/>
    </xf>
    <xf numFmtId="0" fontId="0" fillId="0" borderId="4" applyProtection="1" pivotButton="0" quotePrefix="0" xfId="0">
      <protection locked="0" hidden="0"/>
    </xf>
    <xf numFmtId="0" fontId="7" fillId="0" borderId="5" applyAlignment="1" applyProtection="1" pivotButton="0" quotePrefix="0" xfId="0">
      <alignment horizontal="left" vertical="center" wrapText="1"/>
      <protection locked="0" hidden="1"/>
    </xf>
    <xf numFmtId="0" fontId="0" fillId="0" borderId="2" applyProtection="1" pivotButton="0" quotePrefix="0" xfId="0">
      <protection locked="0" hidden="1"/>
    </xf>
    <xf numFmtId="0" fontId="3" fillId="0" borderId="6" applyAlignment="1" applyProtection="1" pivotButton="0" quotePrefix="0" xfId="0">
      <alignment horizontal="center" vertical="center" wrapText="1"/>
      <protection locked="0" hidden="1"/>
    </xf>
    <xf numFmtId="0" fontId="7" fillId="0" borderId="7" applyAlignment="1" pivotButton="0" quotePrefix="0" xfId="0">
      <alignment horizontal="left" vertical="center" wrapText="1"/>
    </xf>
    <xf numFmtId="40" fontId="7" fillId="0" borderId="9" applyAlignment="1" pivotButton="0" quotePrefix="0" xfId="0">
      <alignment horizontal="left" vertical="center" wrapText="1"/>
    </xf>
    <xf numFmtId="166" fontId="7" fillId="0" borderId="12" applyAlignment="1" applyProtection="1" pivotButton="0" quotePrefix="0" xfId="0">
      <alignment horizontal="left" vertical="center" wrapText="1"/>
      <protection locked="0" hidden="0"/>
    </xf>
    <xf numFmtId="0" fontId="0" fillId="0" borderId="10" applyProtection="1" pivotButton="0" quotePrefix="0" xfId="0">
      <protection locked="0" hidden="0"/>
    </xf>
    <xf numFmtId="166" fontId="7" fillId="0" borderId="13" applyAlignment="1" applyProtection="1" pivotButton="0" quotePrefix="0" xfId="0">
      <alignment horizontal="center" vertical="center" wrapText="1"/>
      <protection locked="0" hidden="0"/>
    </xf>
    <xf numFmtId="0" fontId="3" fillId="0" borderId="7" applyAlignment="1" pivotButton="0" quotePrefix="0" xfId="0">
      <alignment horizontal="left" vertical="center"/>
    </xf>
    <xf numFmtId="0" fontId="3" fillId="0" borderId="7" applyAlignment="1" pivotButton="0" quotePrefix="0" xfId="0">
      <alignment horizontal="left" vertical="center" wrapText="1"/>
    </xf>
    <xf numFmtId="0" fontId="7" fillId="0" borderId="14" applyAlignment="1" pivotButton="0" quotePrefix="0" xfId="0">
      <alignment horizontal="left" vertical="center" wrapText="1"/>
    </xf>
    <xf numFmtId="0" fontId="7" fillId="0" borderId="9" applyAlignment="1" pivotButton="0" quotePrefix="0" xfId="0">
      <alignment horizontal="center" vertical="center" wrapText="1"/>
    </xf>
    <xf numFmtId="0" fontId="3" fillId="0" borderId="15" applyAlignment="1" pivotButton="0" quotePrefix="0" xfId="0">
      <alignment horizontal="left" vertical="center"/>
    </xf>
    <xf numFmtId="0" fontId="3" fillId="0" borderId="21" applyAlignment="1" pivotButton="0" quotePrefix="0" xfId="0">
      <alignment horizontal="left" vertical="justify" wrapText="1"/>
    </xf>
    <xf numFmtId="0" fontId="7" fillId="0" borderId="12" applyAlignment="1" pivotButton="0" quotePrefix="0" xfId="0">
      <alignment horizontal="left" vertical="center" wrapText="1"/>
    </xf>
    <xf numFmtId="0" fontId="3" fillId="0" borderId="18" pivotButton="0" quotePrefix="0" xfId="0"/>
    <xf numFmtId="0" fontId="3" fillId="0" borderId="0" applyAlignment="1" applyProtection="1" pivotButton="0" quotePrefix="0" xfId="0">
      <alignment vertical="center"/>
      <protection locked="0" hidden="0"/>
    </xf>
    <xf numFmtId="0" fontId="3" fillId="0" borderId="43" applyAlignment="1" applyProtection="1" pivotButton="0" quotePrefix="0" xfId="0">
      <alignment vertical="center"/>
      <protection locked="0" hidden="0"/>
    </xf>
    <xf numFmtId="0" fontId="3" fillId="0" borderId="11" applyProtection="1" pivotButton="0" quotePrefix="0" xfId="0">
      <protection locked="0" hidden="0"/>
    </xf>
    <xf numFmtId="166" fontId="7" fillId="0" borderId="9" applyAlignment="1" pivotButton="0" quotePrefix="0" xfId="0">
      <alignment horizontal="left" vertical="center"/>
    </xf>
    <xf numFmtId="166" fontId="7" fillId="0" borderId="13" applyAlignment="1" pivotButton="0" quotePrefix="0" xfId="0">
      <alignment horizontal="left" vertical="center"/>
    </xf>
    <xf numFmtId="0" fontId="3" fillId="0" borderId="38" applyAlignment="1" pivotButton="0" quotePrefix="0" xfId="0">
      <alignment horizontal="left" vertical="justify" wrapText="1"/>
    </xf>
    <xf numFmtId="0" fontId="3" fillId="0" borderId="7" applyAlignment="1" pivotButton="0" quotePrefix="0" xfId="0">
      <alignment horizontal="left" vertical="top"/>
    </xf>
    <xf numFmtId="0" fontId="0" fillId="0" borderId="42" pivotButton="0" quotePrefix="0" xfId="0"/>
    <xf numFmtId="0" fontId="7" fillId="0" borderId="18" applyAlignment="1" pivotButton="0" quotePrefix="0" xfId="0">
      <alignment vertical="top"/>
    </xf>
    <xf numFmtId="0" fontId="7" fillId="0" borderId="0" applyAlignment="1" pivotButton="0" quotePrefix="0" xfId="0">
      <alignment vertical="top"/>
    </xf>
    <xf numFmtId="0" fontId="7" fillId="0" borderId="26" applyAlignment="1" pivotButton="0" quotePrefix="0" xfId="0">
      <alignment horizontal="left" vertical="center" wrapText="1"/>
    </xf>
    <xf numFmtId="0" fontId="20" fillId="2" borderId="33" applyAlignment="1" pivotButton="0" quotePrefix="0" xfId="0">
      <alignment horizontal="center" vertical="center" wrapText="1"/>
    </xf>
    <xf numFmtId="0" fontId="20" fillId="2" borderId="34" applyAlignment="1" pivotButton="0" quotePrefix="0" xfId="0">
      <alignment horizontal="center" vertical="center"/>
    </xf>
    <xf numFmtId="0" fontId="20" fillId="2" borderId="34" applyAlignment="1" pivotButton="0" quotePrefix="0" xfId="0">
      <alignment horizontal="center" vertical="center" wrapText="1"/>
    </xf>
    <xf numFmtId="0" fontId="20" fillId="2" borderId="37" applyAlignment="1" pivotButton="0" quotePrefix="0" xfId="0">
      <alignment horizontal="center" vertical="center" wrapText="1"/>
    </xf>
    <xf numFmtId="0" fontId="21" fillId="2" borderId="19" applyAlignment="1" pivotButton="0" quotePrefix="0" xfId="0">
      <alignment horizontal="center" vertical="center"/>
    </xf>
    <xf numFmtId="0" fontId="21" fillId="2" borderId="19" applyAlignment="1" pivotButton="0" quotePrefix="0" xfId="0">
      <alignment horizontal="center" vertical="center" wrapText="1"/>
    </xf>
    <xf numFmtId="0" fontId="3" fillId="0" borderId="38" applyAlignment="1" pivotButton="0" quotePrefix="0" xfId="0">
      <alignment horizontal="center" vertical="center" wrapText="1"/>
    </xf>
    <xf numFmtId="43" fontId="3" fillId="0" borderId="38" applyAlignment="1" pivotButton="0" quotePrefix="0" xfId="0">
      <alignment horizontal="center" vertical="center" wrapText="1"/>
    </xf>
    <xf numFmtId="0" fontId="10" fillId="0" borderId="38" applyAlignment="1" pivotButton="0" quotePrefix="0" xfId="0">
      <alignment horizontal="center" vertical="center" wrapText="1"/>
    </xf>
    <xf numFmtId="170" fontId="8" fillId="0" borderId="38" applyAlignment="1" pivotButton="0" quotePrefix="0" xfId="0">
      <alignment horizontal="center" vertical="center" wrapText="1"/>
    </xf>
    <xf numFmtId="4" fontId="7" fillId="0" borderId="38" applyAlignment="1" pivotButton="0" quotePrefix="0" xfId="0">
      <alignment horizontal="right" vertical="center" wrapText="1"/>
    </xf>
    <xf numFmtId="0" fontId="7" fillId="0" borderId="44" applyAlignment="1" pivotButton="0" quotePrefix="0" xfId="0">
      <alignment horizontal="left" vertical="top" wrapText="1"/>
    </xf>
    <xf numFmtId="0" fontId="7" fillId="0" borderId="38" applyAlignment="1" pivotButton="0" quotePrefix="0" xfId="0">
      <alignment vertical="center"/>
    </xf>
    <xf numFmtId="4" fontId="9" fillId="0" borderId="38" applyAlignment="1" pivotButton="0" quotePrefix="0" xfId="0">
      <alignment horizontal="center" vertical="center" wrapText="1"/>
    </xf>
    <xf numFmtId="0" fontId="0" fillId="0" borderId="45" pivotButton="0" quotePrefix="0" xfId="0"/>
    <xf numFmtId="0" fontId="0" fillId="0" borderId="44" pivotButton="0" quotePrefix="0" xfId="0"/>
    <xf numFmtId="0" fontId="3" fillId="0" borderId="38" applyAlignment="1" pivotButton="0" quotePrefix="0" xfId="0">
      <alignment horizontal="center" vertical="center"/>
    </xf>
    <xf numFmtId="0" fontId="7" fillId="0" borderId="38" applyAlignment="1" pivotButton="0" quotePrefix="0" xfId="0">
      <alignment horizontal="left" vertical="center" wrapText="1"/>
    </xf>
    <xf numFmtId="0" fontId="22" fillId="0" borderId="38" applyAlignment="1" pivotButton="0" quotePrefix="0" xfId="0">
      <alignment horizontal="left" vertical="center" wrapText="1"/>
    </xf>
    <xf numFmtId="164" fontId="8" fillId="0" borderId="0" applyAlignment="1" pivotButton="0" quotePrefix="0" xfId="0">
      <alignment horizontal="center"/>
    </xf>
    <xf numFmtId="0" fontId="10" fillId="0" borderId="0" applyAlignment="1" pivotButton="0" quotePrefix="0" xfId="0">
      <alignment horizontal="left" vertical="center"/>
    </xf>
    <xf numFmtId="4" fontId="23" fillId="0" borderId="0" applyAlignment="1" pivotButton="0" quotePrefix="0" xfId="0">
      <alignment horizontal="center" vertical="center" wrapText="1"/>
    </xf>
    <xf numFmtId="0" fontId="8" fillId="0" borderId="0" applyAlignment="1" pivotButton="0" quotePrefix="0" xfId="0">
      <alignment horizontal="center"/>
    </xf>
    <xf numFmtId="164" fontId="8" fillId="0" borderId="0" pivotButton="0" quotePrefix="0" xfId="0"/>
    <xf numFmtId="0" fontId="10"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5"/>
  <sheetViews>
    <sheetView workbookViewId="0">
      <selection activeCell="A1" sqref="A1"/>
    </sheetView>
  </sheetViews>
  <sheetFormatPr baseColWidth="8" defaultRowHeight="15"/>
  <cols>
    <col width="11.28515625" customWidth="1" min="1" max="1"/>
    <col width="30.85546875" customWidth="1" min="2" max="2"/>
    <col width="7.140625" customWidth="1" min="3" max="3"/>
    <col width="8.7109375" customWidth="1" min="6" max="6"/>
    <col width="8" customWidth="1" min="7" max="7"/>
    <col width="10.140625" customWidth="1" min="8" max="8"/>
    <col width="14.5703125" customWidth="1" min="9" max="9"/>
    <col width="8.28515625" customWidth="1" min="10" max="10"/>
    <col width="15" customWidth="1" min="11" max="11"/>
    <col width="12.42578125" customWidth="1" min="12" max="12"/>
    <col width="23.7109375" customWidth="1" min="13" max="13"/>
    <col width="9.140625" customWidth="1" min="14" max="14"/>
    <col width="9.140625" customWidth="1" min="15" max="15"/>
  </cols>
  <sheetData>
    <row r="1" ht="19.5" customHeight="1">
      <c r="A1" s="1" t="inlineStr">
        <is>
          <t>A PLUS MINERAL MATERIAL CORPORATION</t>
        </is>
      </c>
      <c r="B1" s="1" t="n"/>
      <c r="C1" s="1" t="n"/>
      <c r="D1" s="1" t="n"/>
      <c r="F1" s="2" t="n"/>
      <c r="G1" s="2" t="n"/>
      <c r="H1" s="3" t="n"/>
      <c r="L1" s="4" t="n"/>
      <c r="M1" s="5" t="n"/>
    </row>
    <row r="2" ht="30.75" customHeight="1">
      <c r="A2" s="6" t="inlineStr">
        <is>
          <t>1A, 4th Floor, Broadway B, 102 Nguyen Luong Bang Street, District 7, Ho Chi Minh City, Vietnam.
Tel: 84.28.5412.2189 ; Fax: 84.28.5413.6218</t>
        </is>
      </c>
    </row>
    <row r="3" ht="17.25" customHeight="1">
      <c r="A3" s="7" t="inlineStr">
        <is>
          <t>REX NUMBER: VNREX0306318488VCCI10L01 (Date from which the REX authorisation is valid: 15/06/2020)</t>
        </is>
      </c>
    </row>
    <row r="4" ht="40.5" customHeight="1">
      <c r="A4" s="8" t="inlineStr">
        <is>
          <t>PACKING LIST</t>
        </is>
      </c>
    </row>
    <row r="5" ht="14.25" customHeight="1"/>
    <row r="6" ht="22.5" customHeight="1">
      <c r="A6" s="9" t="inlineStr">
        <is>
          <t>BUYER/CUSTOMER:</t>
        </is>
      </c>
      <c r="B6" s="10" t="n"/>
      <c r="C6" s="11" t="inlineStr">
        <is>
          <t xml:space="preserve">PACKING LIST NO: </t>
        </is>
      </c>
      <c r="D6" s="10" t="n"/>
      <c r="E6" s="10" t="n"/>
      <c r="F6" s="10" t="n"/>
      <c r="G6" s="10" t="n"/>
      <c r="H6" s="12" t="n"/>
      <c r="I6" s="13" t="inlineStr">
        <is>
          <t>CLIENT :</t>
        </is>
      </c>
      <c r="J6" s="10" t="n"/>
      <c r="K6" s="10" t="n"/>
      <c r="L6" s="10" t="n"/>
      <c r="M6" s="14" t="inlineStr">
        <is>
          <t>DATE:</t>
        </is>
      </c>
    </row>
    <row r="7" ht="21.75" customHeight="1">
      <c r="A7" s="15" t="inlineStr">
        <is>
          <t>NIJST NV</t>
        </is>
      </c>
      <c r="B7" s="16" t="n"/>
      <c r="C7" s="17" t="inlineStr">
        <is>
          <t>NIJSTNV 220401</t>
        </is>
      </c>
      <c r="D7" s="18" t="n"/>
      <c r="E7" s="18" t="n"/>
      <c r="F7" s="18" t="n"/>
      <c r="G7" s="18" t="n"/>
      <c r="H7" s="19" t="n"/>
      <c r="I7" s="20" t="n"/>
      <c r="J7" s="18" t="n"/>
      <c r="K7" s="18" t="n"/>
      <c r="L7" s="18" t="n"/>
      <c r="M7" s="21" t="inlineStr">
        <is>
          <t>2022-04-15</t>
        </is>
      </c>
    </row>
    <row r="8" ht="27.75" customHeight="1">
      <c r="A8" s="22" t="inlineStr">
        <is>
          <t>Taunusweg 12
Munsterbilzen
3740
Belgium</t>
        </is>
      </c>
      <c r="B8" s="16" t="n"/>
      <c r="C8" s="23" t="inlineStr">
        <is>
          <t>PORT OF ORIGIN:</t>
        </is>
      </c>
      <c r="H8" s="16" t="n"/>
      <c r="I8" s="24" t="inlineStr">
        <is>
          <t>FINAL DESTINATION:</t>
        </is>
      </c>
      <c r="J8" s="25" t="n"/>
      <c r="K8" s="25" t="n"/>
      <c r="L8" s="25" t="n"/>
      <c r="M8" s="26" t="inlineStr">
        <is>
          <t>STOCKYARD :</t>
        </is>
      </c>
    </row>
    <row r="9" ht="30.2" customHeight="1">
      <c r="A9" s="27" t="inlineStr">
        <is>
          <t>Tel: +32 8941 6279
Fax: +32 8941 7114</t>
        </is>
      </c>
      <c r="B9" s="16" t="n"/>
      <c r="C9" s="28" t="inlineStr">
        <is>
          <t>Hai Phong Port</t>
        </is>
      </c>
      <c r="H9" s="16" t="n"/>
      <c r="I9" s="29" t="inlineStr">
        <is>
          <t>ANTWERP</t>
        </is>
      </c>
      <c r="J9" s="18" t="n"/>
      <c r="K9" s="18" t="n"/>
      <c r="L9" s="18" t="n"/>
      <c r="M9" s="21" t="inlineStr"/>
    </row>
    <row r="10" ht="33" customHeight="1">
      <c r="A10" s="30" t="inlineStr">
        <is>
          <t>VAT NO. : BE0457.678.266</t>
        </is>
      </c>
      <c r="B10" s="31" t="n"/>
      <c r="C10" s="32" t="inlineStr">
        <is>
          <t>OCEAN VESSEL:</t>
        </is>
      </c>
      <c r="D10" s="25" t="n"/>
      <c r="E10" s="25" t="n"/>
      <c r="F10" s="33" t="n"/>
      <c r="G10" s="32" t="inlineStr">
        <is>
          <t>B/L NO. :</t>
        </is>
      </c>
      <c r="H10" s="33" t="n"/>
      <c r="I10" s="34" t="inlineStr">
        <is>
          <t>INCOTERMS:
☑ Collect
☐ Prepaid
☐ Freight</t>
        </is>
      </c>
      <c r="J10" s="25" t="n"/>
      <c r="K10" s="25" t="n"/>
      <c r="L10" s="25" t="n"/>
      <c r="M10" s="35" t="n"/>
    </row>
    <row r="11" ht="27.75" customHeight="1">
      <c r="A11" s="36" t="n"/>
      <c r="B11" s="19" t="n"/>
      <c r="C11" s="37" t="inlineStr">
        <is>
          <t>HAIAN PARK V.308S</t>
        </is>
      </c>
      <c r="D11" s="18" t="n"/>
      <c r="E11" s="18" t="n"/>
      <c r="F11" s="19" t="n"/>
      <c r="G11" s="38" t="inlineStr">
        <is>
          <t>HANR22040118</t>
        </is>
      </c>
      <c r="H11" s="19" t="n"/>
      <c r="I11" s="39" t="n"/>
      <c r="J11" s="18" t="n"/>
      <c r="K11" s="18" t="n"/>
      <c r="L11" s="18" t="n"/>
      <c r="M11" s="40" t="n"/>
    </row>
    <row r="12" ht="26.45" customHeight="1">
      <c r="A12" s="41" t="inlineStr">
        <is>
          <t xml:space="preserve">REMARK NUMBER ON DOCUMENTS: </t>
        </is>
      </c>
      <c r="B12" s="33" t="n"/>
      <c r="C12" s="32" t="inlineStr">
        <is>
          <t>DEPARTURE DATE:</t>
        </is>
      </c>
      <c r="D12" s="25" t="n"/>
      <c r="E12" s="25" t="n"/>
      <c r="F12" s="25" t="n"/>
      <c r="G12" s="25" t="n"/>
      <c r="H12" s="33" t="n"/>
      <c r="I12" s="42" t="inlineStr">
        <is>
          <t>ARRIVAL SCHEDULE:</t>
        </is>
      </c>
      <c r="J12" s="25" t="n"/>
      <c r="K12" s="25" t="n"/>
      <c r="L12" s="25" t="n"/>
      <c r="M12" s="35" t="n"/>
    </row>
    <row r="13" ht="24" customHeight="1">
      <c r="A13" s="43" t="n"/>
      <c r="B13" s="16" t="n"/>
      <c r="C13" s="44" t="inlineStr">
        <is>
          <t>2022-04-08</t>
        </is>
      </c>
      <c r="H13" s="16" t="n"/>
      <c r="I13" s="45" t="inlineStr"/>
      <c r="M13" s="46" t="n"/>
    </row>
    <row r="14" ht="13.7" customHeight="1">
      <c r="A14" s="47" t="n"/>
      <c r="B14" s="48" t="n"/>
      <c r="C14" s="49" t="n"/>
      <c r="D14" s="50" t="n"/>
      <c r="E14" s="50" t="n"/>
      <c r="F14" s="51" t="n"/>
      <c r="G14" s="51" t="n"/>
      <c r="H14" s="52" t="n"/>
      <c r="I14" s="49" t="n"/>
      <c r="J14" s="50" t="n"/>
      <c r="K14" s="50" t="n"/>
      <c r="L14" s="50" t="n"/>
      <c r="M14" s="53" t="n"/>
    </row>
    <row r="15" ht="30.75" customHeight="1">
      <c r="A15" s="54" t="inlineStr">
        <is>
          <t>Item No.</t>
        </is>
      </c>
      <c r="B15" s="55" t="inlineStr">
        <is>
          <t>Product Description</t>
        </is>
      </c>
      <c r="C15" s="55" t="inlineStr">
        <is>
          <t>SIZE (cm)</t>
        </is>
      </c>
      <c r="D15" s="56" t="n"/>
      <c r="E15" s="57" t="n"/>
      <c r="F15" s="55" t="inlineStr">
        <is>
          <t>Quantity</t>
        </is>
      </c>
      <c r="G15" s="56" t="n"/>
      <c r="H15" s="56" t="n"/>
      <c r="I15" s="57" t="n"/>
      <c r="J15" s="58" t="inlineStr">
        <is>
          <t>Weight (tons)</t>
        </is>
      </c>
      <c r="K15" s="58" t="inlineStr">
        <is>
          <t xml:space="preserve">Container number </t>
        </is>
      </c>
      <c r="L15" s="58" t="inlineStr">
        <is>
          <t>Stockyard</t>
        </is>
      </c>
      <c r="M15" s="59" t="inlineStr">
        <is>
          <t>Oder No.</t>
        </is>
      </c>
    </row>
    <row r="16" ht="27.75" customHeight="1">
      <c r="A16" s="60" t="n"/>
      <c r="B16" s="61" t="n"/>
      <c r="C16" s="62" t="inlineStr">
        <is>
          <t>L</t>
        </is>
      </c>
      <c r="D16" s="62" t="inlineStr">
        <is>
          <t>W</t>
        </is>
      </c>
      <c r="E16" s="62" t="inlineStr">
        <is>
          <t>H</t>
        </is>
      </c>
      <c r="F16" s="63" t="inlineStr">
        <is>
          <t>pieces/ m2/tons</t>
        </is>
      </c>
      <c r="G16" s="33" t="n"/>
      <c r="H16" s="64" t="inlineStr">
        <is>
          <t>Crates</t>
        </is>
      </c>
      <c r="I16" s="65" t="inlineStr">
        <is>
          <t>Packing unit</t>
        </is>
      </c>
      <c r="J16" s="61" t="n"/>
      <c r="K16" s="61" t="n"/>
      <c r="L16" s="61" t="n"/>
      <c r="M16" s="66" t="n"/>
    </row>
    <row r="17" ht="55.9" customHeight="1">
      <c r="A17" s="67" t="inlineStr">
        <is>
          <t>1</t>
        </is>
      </c>
      <c r="B17" s="68" t="inlineStr">
        <is>
          <t>Bluestone Paving Premium tumbled</t>
        </is>
      </c>
      <c r="C17" s="69" t="n">
        <v>24</v>
      </c>
      <c r="D17" s="69" t="n">
        <v>8</v>
      </c>
      <c r="E17" s="69" t="n">
        <v>5</v>
      </c>
      <c r="F17" s="70" t="inlineStr">
        <is>
          <t>200.45 m2</t>
        </is>
      </c>
      <c r="G17" s="71" t="inlineStr"/>
      <c r="H17" s="72" t="n">
        <v>29</v>
      </c>
      <c r="I17" s="73" t="inlineStr">
        <is>
          <t>360.0 pcs/crate</t>
        </is>
      </c>
      <c r="J17" s="74" t="n">
        <v>27.5</v>
      </c>
      <c r="K17" s="75" t="inlineStr">
        <is>
          <t>UETU2727958</t>
        </is>
      </c>
      <c r="L17" s="76" t="n"/>
      <c r="M17" s="77" t="inlineStr">
        <is>
          <t>12/A-X19/20 (TAH 1220/APNN)</t>
        </is>
      </c>
    </row>
    <row r="18" ht="55.9" customHeight="1">
      <c r="A18" s="67" t="inlineStr">
        <is>
          <t>2</t>
        </is>
      </c>
      <c r="B18" s="68" t="inlineStr">
        <is>
          <t>Bluestone Tiles - Vietnostyle</t>
        </is>
      </c>
      <c r="C18" s="69" t="n">
        <v>60</v>
      </c>
      <c r="D18" s="69" t="n">
        <v>60</v>
      </c>
      <c r="E18" s="69" t="n">
        <v>2.5</v>
      </c>
      <c r="F18" s="70" t="inlineStr">
        <is>
          <t>403.2 m2</t>
        </is>
      </c>
      <c r="G18" s="71" t="inlineStr"/>
      <c r="H18" s="72" t="n">
        <v>28</v>
      </c>
      <c r="I18" s="73" t="inlineStr">
        <is>
          <t>40.0 pcs/crate</t>
        </is>
      </c>
      <c r="J18" s="74" t="n">
        <v>27.5</v>
      </c>
      <c r="K18" s="75" t="inlineStr">
        <is>
          <t>CAIU3222111</t>
        </is>
      </c>
      <c r="L18" s="76" t="n"/>
      <c r="M18" s="77" t="inlineStr">
        <is>
          <t>07/A-X19/21 (TAH 0721/APNN)</t>
        </is>
      </c>
    </row>
    <row r="19" ht="55.9" customHeight="1">
      <c r="A19" s="67" t="inlineStr">
        <is>
          <t>3</t>
        </is>
      </c>
      <c r="B19" s="68" t="inlineStr">
        <is>
          <t>Bluestone Palisades - Scraped</t>
        </is>
      </c>
      <c r="C19" s="69" t="n">
        <v>100</v>
      </c>
      <c r="D19" s="69" t="n">
        <v>20</v>
      </c>
      <c r="E19" s="69" t="n">
        <v>5</v>
      </c>
      <c r="F19" s="70" t="inlineStr">
        <is>
          <t>900.0 pcs</t>
        </is>
      </c>
      <c r="G19" s="71" t="inlineStr"/>
      <c r="H19" s="72" t="n">
        <v>25</v>
      </c>
      <c r="I19" s="73" t="inlineStr">
        <is>
          <t>36.0 pcs/crate</t>
        </is>
      </c>
      <c r="J19" s="74" t="n">
        <v>27.5</v>
      </c>
      <c r="K19" s="75" t="inlineStr">
        <is>
          <t>UACU3611757</t>
        </is>
      </c>
      <c r="L19" s="76" t="n"/>
      <c r="M19" s="77" t="inlineStr">
        <is>
          <t>07/A-X19/21 (TAH 0721/APNN)</t>
        </is>
      </c>
    </row>
    <row r="20" ht="55.9" customHeight="1">
      <c r="A20" s="67" t="inlineStr">
        <is>
          <t>4</t>
        </is>
      </c>
      <c r="B20" s="68" t="inlineStr">
        <is>
          <t>Bluestone Palisades - Scraped</t>
        </is>
      </c>
      <c r="C20" s="69" t="n">
        <v>100</v>
      </c>
      <c r="D20" s="69" t="n">
        <v>30</v>
      </c>
      <c r="E20" s="69" t="n">
        <v>5</v>
      </c>
      <c r="F20" s="70" t="inlineStr">
        <is>
          <t>72.0 pcs</t>
        </is>
      </c>
      <c r="G20" s="71" t="inlineStr"/>
      <c r="H20" s="72" t="n">
        <v>3</v>
      </c>
      <c r="I20" s="73" t="inlineStr">
        <is>
          <t>24.0 pcs/crate</t>
        </is>
      </c>
      <c r="J20" s="74" t="n">
        <v>27.5</v>
      </c>
      <c r="K20" s="75" t="inlineStr">
        <is>
          <t>UACU3611757</t>
        </is>
      </c>
      <c r="L20" s="76" t="n"/>
      <c r="M20" s="77" t="inlineStr">
        <is>
          <t>07/A-X19/21 (TAH 0721/APNN)</t>
        </is>
      </c>
    </row>
    <row r="21" ht="55.9" customHeight="1">
      <c r="A21" s="67" t="inlineStr">
        <is>
          <t>5</t>
        </is>
      </c>
      <c r="B21" s="68" t="inlineStr">
        <is>
          <t>Blue Limestone Kerb Scraped finish top and front, other sides sawn</t>
        </is>
      </c>
      <c r="C21" s="69" t="n">
        <v>100</v>
      </c>
      <c r="D21" s="69" t="n">
        <v>15</v>
      </c>
      <c r="E21" s="69" t="n">
        <v>5</v>
      </c>
      <c r="F21" s="70" t="inlineStr">
        <is>
          <t>96.0 pcs</t>
        </is>
      </c>
      <c r="G21" s="71" t="inlineStr"/>
      <c r="H21" s="72" t="n">
        <v>2</v>
      </c>
      <c r="I21" s="73" t="inlineStr">
        <is>
          <t>48.0 pcs/crate</t>
        </is>
      </c>
      <c r="J21" s="74" t="n">
        <v>27.5</v>
      </c>
      <c r="K21" s="75" t="inlineStr">
        <is>
          <t>HLBU1108988</t>
        </is>
      </c>
      <c r="L21" s="76" t="n"/>
      <c r="M21" s="77" t="inlineStr">
        <is>
          <t>07/A-X19-18 (TAH 0718/APNN)</t>
        </is>
      </c>
    </row>
    <row r="22" ht="55.9" customHeight="1">
      <c r="A22" s="67" t="inlineStr">
        <is>
          <t>6</t>
        </is>
      </c>
      <c r="B22" s="68" t="inlineStr">
        <is>
          <t>Bluestone Palisades - Scraped</t>
        </is>
      </c>
      <c r="C22" s="69" t="n">
        <v>100</v>
      </c>
      <c r="D22" s="69" t="n">
        <v>20</v>
      </c>
      <c r="E22" s="69" t="n">
        <v>5</v>
      </c>
      <c r="F22" s="70" t="inlineStr">
        <is>
          <t>468.0 pcs</t>
        </is>
      </c>
      <c r="G22" s="71" t="inlineStr"/>
      <c r="H22" s="72" t="n">
        <v>13</v>
      </c>
      <c r="I22" s="73" t="inlineStr">
        <is>
          <t>36.0 pcs/crate</t>
        </is>
      </c>
      <c r="J22" s="74" t="n">
        <v>27.5</v>
      </c>
      <c r="K22" s="75" t="inlineStr">
        <is>
          <t>HLBU1108988</t>
        </is>
      </c>
      <c r="L22" s="76" t="n"/>
      <c r="M22" s="77" t="inlineStr">
        <is>
          <t>07/A-X19/21 (TAH 0721/APNN)</t>
        </is>
      </c>
    </row>
    <row r="23" ht="55.9" customHeight="1">
      <c r="A23" s="67" t="inlineStr">
        <is>
          <t>7</t>
        </is>
      </c>
      <c r="B23" s="68" t="inlineStr">
        <is>
          <t>Bluestone Palisades - Scraped</t>
        </is>
      </c>
      <c r="C23" s="69" t="n">
        <v>100</v>
      </c>
      <c r="D23" s="69" t="n">
        <v>30</v>
      </c>
      <c r="E23" s="69" t="n">
        <v>5</v>
      </c>
      <c r="F23" s="70" t="inlineStr">
        <is>
          <t>312.0 pcs</t>
        </is>
      </c>
      <c r="G23" s="71" t="inlineStr"/>
      <c r="H23" s="72" t="n">
        <v>13</v>
      </c>
      <c r="I23" s="73" t="inlineStr">
        <is>
          <t>24.0 pcs/crate</t>
        </is>
      </c>
      <c r="J23" s="74" t="n">
        <v>27.5</v>
      </c>
      <c r="K23" s="75" t="inlineStr">
        <is>
          <t>HLBU1108988</t>
        </is>
      </c>
      <c r="L23" s="76" t="n"/>
      <c r="M23" s="77" t="inlineStr">
        <is>
          <t>07/A-X19/21 (TAH 0721/APNN)</t>
        </is>
      </c>
    </row>
    <row r="24" ht="55.9" customHeight="1">
      <c r="A24" s="67" t="inlineStr">
        <is>
          <t>8</t>
        </is>
      </c>
      <c r="B24" s="68" t="inlineStr">
        <is>
          <t>Bluestone Cubic Premium Tumbled</t>
        </is>
      </c>
      <c r="C24" s="69" t="n">
        <v>20</v>
      </c>
      <c r="D24" s="69" t="n">
        <v>5</v>
      </c>
      <c r="E24" s="69" t="n">
        <v>5</v>
      </c>
      <c r="F24" s="70" t="inlineStr">
        <is>
          <t>100.8 m2</t>
        </is>
      </c>
      <c r="G24" s="71" t="inlineStr"/>
      <c r="H24" s="72" t="n">
        <v>14</v>
      </c>
      <c r="I24" s="73" t="inlineStr">
        <is>
          <t>720.0 pcs/crate</t>
        </is>
      </c>
      <c r="J24" s="74" t="n">
        <v>27</v>
      </c>
      <c r="K24" s="75" t="inlineStr">
        <is>
          <t>HLXU1182257</t>
        </is>
      </c>
      <c r="L24" s="76" t="n"/>
      <c r="M24" s="77" t="inlineStr">
        <is>
          <t>09/A-X19/20 (TAH 0920/APNN)</t>
        </is>
      </c>
    </row>
    <row r="25" ht="55.9" customHeight="1">
      <c r="A25" s="67" t="inlineStr">
        <is>
          <t>9</t>
        </is>
      </c>
      <c r="B25" s="68" t="inlineStr">
        <is>
          <t>Bluestone Paving Premium tumbled</t>
        </is>
      </c>
      <c r="C25" s="69" t="n">
        <v>15</v>
      </c>
      <c r="D25" s="69" t="n">
        <v>15</v>
      </c>
      <c r="E25" s="69" t="n">
        <v>5</v>
      </c>
      <c r="F25" s="70" t="inlineStr">
        <is>
          <t>7.2 m2</t>
        </is>
      </c>
      <c r="G25" s="71" t="inlineStr"/>
      <c r="H25" s="72" t="n">
        <v>1</v>
      </c>
      <c r="I25" s="73" t="inlineStr">
        <is>
          <t>320.0 pcs/crate</t>
        </is>
      </c>
      <c r="J25" s="74" t="n">
        <v>27</v>
      </c>
      <c r="K25" s="75" t="inlineStr">
        <is>
          <t>HLXU1182257</t>
        </is>
      </c>
      <c r="L25" s="76" t="n"/>
      <c r="M25" s="77" t="inlineStr">
        <is>
          <t>07/A-X19/21 (TAH 0721/APNN)</t>
        </is>
      </c>
    </row>
    <row r="26" ht="55.9" customHeight="1">
      <c r="A26" s="67" t="inlineStr">
        <is>
          <t>10</t>
        </is>
      </c>
      <c r="B26" s="68" t="inlineStr">
        <is>
          <t>Bluestone Paving Premium tumbled</t>
        </is>
      </c>
      <c r="C26" s="69" t="n">
        <v>24</v>
      </c>
      <c r="D26" s="69" t="n">
        <v>8</v>
      </c>
      <c r="E26" s="69" t="n">
        <v>5</v>
      </c>
      <c r="F26" s="70" t="inlineStr">
        <is>
          <t>89.86 m2</t>
        </is>
      </c>
      <c r="G26" s="71" t="inlineStr"/>
      <c r="H26" s="72" t="n">
        <v>13</v>
      </c>
      <c r="I26" s="73" t="inlineStr">
        <is>
          <t>360.0 pcs/crate</t>
        </is>
      </c>
      <c r="J26" s="74" t="n">
        <v>27</v>
      </c>
      <c r="K26" s="75" t="inlineStr">
        <is>
          <t>HLXU1182257</t>
        </is>
      </c>
      <c r="L26" s="76" t="n"/>
      <c r="M26" s="77" t="inlineStr">
        <is>
          <t>12/A-X19/20 (TAH 1220/APNN)</t>
        </is>
      </c>
    </row>
    <row r="27" ht="55.9" customHeight="1">
      <c r="A27" s="67" t="inlineStr">
        <is>
          <t>11</t>
        </is>
      </c>
      <c r="B27" s="68" t="inlineStr">
        <is>
          <t>Bluestone Palisades - Old Imitation</t>
        </is>
      </c>
      <c r="C27" s="69" t="n">
        <v>100</v>
      </c>
      <c r="D27" s="69" t="n">
        <v>15</v>
      </c>
      <c r="E27" s="69" t="n">
        <v>5</v>
      </c>
      <c r="F27" s="70" t="inlineStr">
        <is>
          <t>144.0 pcs</t>
        </is>
      </c>
      <c r="G27" s="71" t="inlineStr"/>
      <c r="H27" s="72" t="n">
        <v>3</v>
      </c>
      <c r="I27" s="73" t="inlineStr">
        <is>
          <t>48.0 pcs/crate</t>
        </is>
      </c>
      <c r="J27" s="74" t="n">
        <v>27</v>
      </c>
      <c r="K27" s="75" t="inlineStr">
        <is>
          <t>IRNU2613330</t>
        </is>
      </c>
      <c r="L27" s="76" t="n"/>
      <c r="M27" s="77" t="inlineStr">
        <is>
          <t>04/A-X19-19 (TAH 0419/APNN)</t>
        </is>
      </c>
    </row>
    <row r="28" ht="55.9" customHeight="1">
      <c r="A28" s="67" t="inlineStr">
        <is>
          <t>12</t>
        </is>
      </c>
      <c r="B28" s="68" t="inlineStr">
        <is>
          <t>Bluestone Palisades - Old Imitation</t>
        </is>
      </c>
      <c r="C28" s="69" t="n">
        <v>100</v>
      </c>
      <c r="D28" s="69" t="n">
        <v>20</v>
      </c>
      <c r="E28" s="69" t="n">
        <v>5</v>
      </c>
      <c r="F28" s="70" t="inlineStr">
        <is>
          <t>468.0 pcs</t>
        </is>
      </c>
      <c r="G28" s="71" t="inlineStr"/>
      <c r="H28" s="72" t="n">
        <v>13</v>
      </c>
      <c r="I28" s="73" t="inlineStr">
        <is>
          <t>36.0 pcs/crate</t>
        </is>
      </c>
      <c r="J28" s="74" t="n">
        <v>27</v>
      </c>
      <c r="K28" s="75" t="inlineStr">
        <is>
          <t>IRNU2613330</t>
        </is>
      </c>
      <c r="L28" s="76" t="n"/>
      <c r="M28" s="77" t="inlineStr">
        <is>
          <t>07/A-X19/21 (TAH 0721/APNN)</t>
        </is>
      </c>
    </row>
    <row r="29" ht="55.9" customHeight="1">
      <c r="A29" s="67" t="inlineStr">
        <is>
          <t>13</t>
        </is>
      </c>
      <c r="B29" s="68" t="inlineStr">
        <is>
          <t>Bluestone Palisades - Old Imitation</t>
        </is>
      </c>
      <c r="C29" s="69" t="n">
        <v>100</v>
      </c>
      <c r="D29" s="69" t="n">
        <v>30</v>
      </c>
      <c r="E29" s="69" t="n">
        <v>5</v>
      </c>
      <c r="F29" s="70" t="inlineStr">
        <is>
          <t>216.0 pcs</t>
        </is>
      </c>
      <c r="G29" s="71" t="inlineStr"/>
      <c r="H29" s="72" t="n">
        <v>9</v>
      </c>
      <c r="I29" s="73" t="inlineStr">
        <is>
          <t>24.0 pcs/crate</t>
        </is>
      </c>
      <c r="J29" s="74" t="n">
        <v>27</v>
      </c>
      <c r="K29" s="75" t="inlineStr">
        <is>
          <t>IRNU2613330</t>
        </is>
      </c>
      <c r="L29" s="76" t="n"/>
      <c r="M29" s="77" t="inlineStr">
        <is>
          <t>07/A-X19/21 (TAH 0721/APNN)</t>
        </is>
      </c>
    </row>
    <row r="30" ht="55.9" customHeight="1">
      <c r="A30" s="67" t="inlineStr">
        <is>
          <t>14</t>
        </is>
      </c>
      <c r="B30" s="68" t="inlineStr">
        <is>
          <t>Bluestone Palisades - Scraped (slight honed)</t>
        </is>
      </c>
      <c r="C30" s="69" t="n">
        <v>100</v>
      </c>
      <c r="D30" s="69" t="n">
        <v>25</v>
      </c>
      <c r="E30" s="69" t="n">
        <v>8</v>
      </c>
      <c r="F30" s="70" t="inlineStr">
        <is>
          <t>40.0 pcs</t>
        </is>
      </c>
      <c r="G30" s="71" t="inlineStr"/>
      <c r="H30" s="72" t="n">
        <v>2</v>
      </c>
      <c r="I30" s="73" t="inlineStr">
        <is>
          <t>20.0 pcs/crate</t>
        </is>
      </c>
      <c r="J30" s="74" t="n">
        <v>27</v>
      </c>
      <c r="K30" s="75" t="inlineStr">
        <is>
          <t>IRNU2613330</t>
        </is>
      </c>
      <c r="L30" s="76" t="n"/>
      <c r="M30" s="77" t="inlineStr">
        <is>
          <t>09/A-X19/20 (TAH 0920/APNN)</t>
        </is>
      </c>
    </row>
    <row r="31" ht="55.9" customHeight="1">
      <c r="A31" s="67" t="inlineStr">
        <is>
          <t>15</t>
        </is>
      </c>
      <c r="B31" s="68" t="inlineStr">
        <is>
          <t>Bluestone Tiles - Vietnostyle</t>
        </is>
      </c>
      <c r="C31" s="69" t="n">
        <v>50</v>
      </c>
      <c r="D31" s="69" t="n">
        <v>50</v>
      </c>
      <c r="E31" s="69" t="n">
        <v>2.5</v>
      </c>
      <c r="F31" s="70" t="inlineStr">
        <is>
          <t>400.0 m2</t>
        </is>
      </c>
      <c r="G31" s="71" t="inlineStr"/>
      <c r="H31" s="72" t="n">
        <v>40</v>
      </c>
      <c r="I31" s="73" t="inlineStr">
        <is>
          <t>40.0 pcs/crate</t>
        </is>
      </c>
      <c r="J31" s="74" t="n">
        <v>27.5</v>
      </c>
      <c r="K31" s="75" t="inlineStr">
        <is>
          <t>CAAU2105571</t>
        </is>
      </c>
      <c r="L31" s="76" t="n"/>
      <c r="M31" s="77" t="inlineStr">
        <is>
          <t>07/A-X19/21 (TAH 0721/APNN)</t>
        </is>
      </c>
    </row>
    <row r="32">
      <c r="A32" s="78" t="inlineStr">
        <is>
          <t>Total</t>
        </is>
      </c>
      <c r="G32" s="16" t="n"/>
      <c r="H32" s="79">
        <f>SUM(H17:H31)</f>
        <v/>
      </c>
      <c r="I32" s="79" t="n"/>
      <c r="J32" s="80">
        <f>SUM(J17:J31)</f>
        <v/>
      </c>
      <c r="K32" s="81">
        <f>COUNTA(K17:K31)</f>
        <v/>
      </c>
      <c r="L32" s="82" t="n"/>
      <c r="M32" s="83" t="n"/>
    </row>
    <row r="33">
      <c r="A33" s="84" t="n"/>
      <c r="B33" s="48" t="n"/>
      <c r="C33" s="48" t="n"/>
      <c r="D33" s="48" t="n"/>
      <c r="E33" s="48" t="n"/>
      <c r="F33" s="48" t="n"/>
      <c r="G33" s="85" t="n"/>
      <c r="H33" s="86" t="inlineStr">
        <is>
          <t>crates</t>
        </is>
      </c>
      <c r="I33" s="87" t="n"/>
      <c r="J33" s="87" t="inlineStr">
        <is>
          <t>tons</t>
        </is>
      </c>
      <c r="K33" s="88" t="inlineStr">
        <is>
          <t>containers</t>
        </is>
      </c>
      <c r="L33" s="88" t="n"/>
      <c r="M33" s="89" t="n"/>
    </row>
    <row r="34">
      <c r="A34" s="90" t="n"/>
      <c r="B34" s="90" t="n"/>
      <c r="C34" s="90" t="n"/>
      <c r="D34" s="90" t="n"/>
      <c r="E34" s="90" t="n"/>
      <c r="F34" s="90" t="n"/>
      <c r="G34" s="90" t="n"/>
      <c r="H34" s="91" t="n"/>
      <c r="I34" s="92" t="n"/>
      <c r="J34" s="92" t="n"/>
      <c r="K34" s="93" t="n"/>
      <c r="L34" s="93" t="n"/>
      <c r="M34" s="94" t="n"/>
    </row>
    <row r="35" ht="15.75" customHeight="1">
      <c r="F35" s="95" t="n"/>
      <c r="G35" s="95" t="n"/>
      <c r="H35" s="96" t="inlineStr">
        <is>
          <t>FOR AND ON BEHALF OF SELLER</t>
        </is>
      </c>
    </row>
    <row r="36" ht="15.75" customHeight="1">
      <c r="A36" s="97" t="n"/>
      <c r="B36" s="97" t="n"/>
      <c r="C36" s="97" t="n"/>
      <c r="D36" s="97" t="n"/>
      <c r="E36" s="97" t="n"/>
      <c r="F36" s="95" t="n"/>
      <c r="G36" s="95" t="n"/>
      <c r="H36" s="98" t="inlineStr">
        <is>
          <t>A PLUS MINERAL MATERIAL CORPORATION</t>
        </is>
      </c>
    </row>
    <row r="37" ht="15.75" customHeight="1">
      <c r="H37" s="99" t="n"/>
      <c r="I37" s="99" t="n"/>
      <c r="J37" s="99" t="n"/>
      <c r="K37" s="99" t="n"/>
      <c r="M37" s="99" t="n"/>
    </row>
    <row r="38" ht="15.75" customHeight="1">
      <c r="H38" s="99" t="n"/>
      <c r="I38" s="99" t="n"/>
      <c r="J38" s="99" t="n"/>
      <c r="K38" s="99" t="n"/>
      <c r="M38" s="99" t="n"/>
    </row>
    <row r="39" ht="15.75" customHeight="1">
      <c r="H39" s="99" t="n"/>
      <c r="I39" s="99" t="n"/>
      <c r="J39" s="99" t="n"/>
      <c r="K39" s="99" t="n"/>
      <c r="M39" s="99" t="n"/>
    </row>
    <row r="40" ht="15.75" customHeight="1"/>
    <row r="41" ht="15.75" customHeight="1"/>
    <row r="42" ht="15.75" customHeight="1"/>
    <row r="43" ht="66.75" customHeight="1"/>
    <row r="44" ht="15.75" customHeight="1"/>
    <row r="45" ht="15.75" customHeight="1"/>
    <row r="46" ht="45" customHeight="1"/>
    <row r="47" ht="13.5" customHeight="1"/>
    <row r="48" ht="13.5" customHeight="1">
      <c r="A48" s="99" t="n"/>
      <c r="H48" s="99" t="n"/>
    </row>
    <row r="49" ht="13.5" customHeight="1"/>
    <row r="50" ht="13.5" customHeight="1">
      <c r="H50" s="100" t="inlineStr">
        <is>
          <t>TRAN ANH HOANG</t>
        </is>
      </c>
    </row>
    <row r="51" ht="13.5" customHeight="1">
      <c r="H51" s="100" t="n"/>
      <c r="I51" s="100" t="n"/>
      <c r="J51" s="100" t="n"/>
      <c r="K51" s="100" t="n"/>
      <c r="L51" s="100" t="n"/>
      <c r="M51" s="100" t="n"/>
    </row>
    <row r="52">
      <c r="H52" s="100" t="n"/>
      <c r="I52" s="100" t="n"/>
      <c r="J52" s="100" t="n"/>
      <c r="K52" s="100" t="n"/>
      <c r="L52" s="100" t="n"/>
      <c r="M52" s="100" t="n"/>
    </row>
    <row r="53">
      <c r="H53" s="100" t="n"/>
      <c r="I53" s="100" t="n"/>
      <c r="J53" s="100" t="n"/>
      <c r="K53" s="100" t="n"/>
      <c r="L53" s="100" t="n"/>
      <c r="M53" s="100" t="n"/>
    </row>
    <row r="54">
      <c r="H54" s="100" t="n"/>
      <c r="I54" s="100" t="n"/>
      <c r="J54" s="100" t="n"/>
      <c r="K54" s="100" t="n"/>
      <c r="L54" s="100" t="n"/>
      <c r="M54" s="100" t="n"/>
    </row>
    <row r="55">
      <c r="H55" s="100" t="n"/>
      <c r="I55" s="100" t="n"/>
      <c r="J55" s="100" t="n"/>
      <c r="K55" s="100" t="n"/>
      <c r="L55" s="100" t="n"/>
      <c r="M55" s="100" t="n"/>
    </row>
    <row r="56">
      <c r="H56" s="100" t="n"/>
      <c r="I56" s="100" t="n"/>
      <c r="J56" s="100" t="n"/>
      <c r="K56" s="100" t="n"/>
      <c r="L56" s="100" t="n"/>
      <c r="M56" s="100" t="n"/>
    </row>
    <row r="57">
      <c r="H57" s="100" t="n"/>
      <c r="I57" s="100" t="n"/>
      <c r="J57" s="100" t="n"/>
      <c r="K57" s="100" t="n"/>
      <c r="L57" s="100" t="n"/>
      <c r="M57" s="100" t="n"/>
    </row>
    <row r="58">
      <c r="H58" s="100" t="n"/>
      <c r="I58" s="100" t="n"/>
      <c r="J58" s="100" t="n"/>
      <c r="K58" s="100" t="n"/>
      <c r="L58" s="100" t="n"/>
      <c r="M58" s="100" t="n"/>
    </row>
    <row r="59">
      <c r="H59" s="100" t="n"/>
      <c r="I59" s="100" t="n"/>
      <c r="J59" s="100" t="n"/>
      <c r="K59" s="100" t="n"/>
      <c r="L59" s="100" t="n"/>
      <c r="M59" s="100" t="n"/>
    </row>
    <row r="60">
      <c r="H60" s="100" t="n"/>
      <c r="I60" s="100" t="n"/>
      <c r="J60" s="100" t="n"/>
      <c r="K60" s="100" t="n"/>
      <c r="L60" s="100" t="n"/>
      <c r="M60" s="100" t="n"/>
    </row>
    <row r="61">
      <c r="A61" s="101" t="n"/>
      <c r="B61" s="101" t="n"/>
      <c r="C61" s="101" t="n"/>
      <c r="D61" s="101" t="n"/>
      <c r="E61" s="101" t="n"/>
      <c r="F61" s="102" t="n"/>
      <c r="G61" s="102" t="n"/>
      <c r="H61" s="103" t="n"/>
      <c r="I61" s="101" t="n"/>
      <c r="J61" s="101" t="n"/>
      <c r="K61" s="101" t="n"/>
      <c r="L61" s="99" t="n"/>
      <c r="M61" s="104" t="n"/>
    </row>
    <row r="62">
      <c r="A62" s="105" t="n"/>
      <c r="B62" s="106" t="n"/>
      <c r="C62" s="105" t="n"/>
      <c r="D62" s="105" t="n"/>
      <c r="E62" s="105" t="n"/>
      <c r="F62" s="105" t="n"/>
      <c r="G62" s="107" t="n"/>
      <c r="H62" s="108" t="n"/>
      <c r="I62" s="106" t="n"/>
      <c r="J62" s="109" t="n"/>
      <c r="K62" s="109" t="n"/>
      <c r="L62" s="110" t="n"/>
      <c r="M62" s="111" t="n"/>
    </row>
    <row r="63">
      <c r="A63" s="112" t="inlineStr">
        <is>
          <t xml:space="preserve">The Exporter: A PLUS MINERAL MATERIAL CORPORATION. VNREX0306318488VCCI10L01 of the products covered by this documents declares that, except where otherwise </t>
        </is>
      </c>
      <c r="B63" s="106" t="n"/>
      <c r="C63" s="105" t="n"/>
      <c r="D63" s="105" t="n"/>
      <c r="E63" s="105" t="n"/>
      <c r="F63" s="105" t="n"/>
      <c r="G63" s="107" t="n"/>
      <c r="H63" s="108" t="n"/>
      <c r="I63" s="106" t="n"/>
      <c r="J63" s="109" t="n"/>
      <c r="K63" s="109" t="n"/>
      <c r="L63" s="110" t="n"/>
      <c r="M63" s="111" t="n"/>
    </row>
    <row r="64">
      <c r="A64" s="112" t="inlineStr">
        <is>
          <t>clearly indicated, these products are of Vietnam origin according to the rules of origin of the Generalized System of Preferances of the European Union and  that the origin</t>
        </is>
      </c>
      <c r="B64" s="106" t="n"/>
      <c r="C64" s="105" t="n"/>
      <c r="D64" s="105" t="n"/>
      <c r="E64" s="105" t="n"/>
      <c r="F64" s="105" t="n"/>
      <c r="G64" s="107" t="n"/>
      <c r="H64" s="108" t="n"/>
      <c r="I64" s="106" t="n"/>
      <c r="J64" s="109" t="n"/>
      <c r="K64" s="109" t="n"/>
      <c r="L64" s="110" t="n"/>
      <c r="M64" s="111" t="n"/>
    </row>
    <row r="65">
      <c r="A65" s="112" t="inlineStr">
        <is>
          <t>criterion met is "P" (H.S.Code)</t>
        </is>
      </c>
      <c r="B65" s="106" t="n"/>
      <c r="C65" s="105" t="n"/>
      <c r="D65" s="105" t="n"/>
      <c r="E65" s="105" t="n"/>
      <c r="F65" s="105" t="n"/>
      <c r="G65" s="107" t="n"/>
      <c r="H65" s="108" t="n"/>
      <c r="I65" s="106" t="n"/>
      <c r="J65" s="109" t="n"/>
      <c r="K65" s="109" t="n"/>
      <c r="L65" s="110" t="n"/>
      <c r="M65" s="111" t="n"/>
    </row>
  </sheetData>
  <mergeCells count="42">
    <mergeCell ref="A12:B13"/>
    <mergeCell ref="I8:L8"/>
    <mergeCell ref="F16:G16"/>
    <mergeCell ref="H36:M36"/>
    <mergeCell ref="C9:H9"/>
    <mergeCell ref="A11:B11"/>
    <mergeCell ref="G11:H11"/>
    <mergeCell ref="A4:M4"/>
    <mergeCell ref="J15:J16"/>
    <mergeCell ref="C12:H12"/>
    <mergeCell ref="L15:L16"/>
    <mergeCell ref="A6:B6"/>
    <mergeCell ref="M15:M16"/>
    <mergeCell ref="I9:L9"/>
    <mergeCell ref="A7:B7"/>
    <mergeCell ref="G10:H10"/>
    <mergeCell ref="A48:G48"/>
    <mergeCell ref="I6:L6"/>
    <mergeCell ref="I10:M11"/>
    <mergeCell ref="C8:H8"/>
    <mergeCell ref="C7:H7"/>
    <mergeCell ref="B15:B16"/>
    <mergeCell ref="H48:M48"/>
    <mergeCell ref="I12:M12"/>
    <mergeCell ref="A32:G33"/>
    <mergeCell ref="C13:H13"/>
    <mergeCell ref="F15:I15"/>
    <mergeCell ref="A14:B14"/>
    <mergeCell ref="I7:L7"/>
    <mergeCell ref="C10:F10"/>
    <mergeCell ref="H35:M35"/>
    <mergeCell ref="A8:B8"/>
    <mergeCell ref="C15:E15"/>
    <mergeCell ref="C6:H6"/>
    <mergeCell ref="H50:M50"/>
    <mergeCell ref="A15:A16"/>
    <mergeCell ref="A3:M3"/>
    <mergeCell ref="I13:M13"/>
    <mergeCell ref="C11:F11"/>
    <mergeCell ref="K15:K16"/>
    <mergeCell ref="A9:B9"/>
    <mergeCell ref="A2:M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1" t="inlineStr">
        <is>
          <t>A PLUS MINERAL MATERIAL CORPORATION</t>
        </is>
      </c>
      <c r="B1" s="1" t="n"/>
      <c r="C1" s="1" t="n"/>
      <c r="D1" s="1" t="n"/>
      <c r="E1" s="1" t="n"/>
      <c r="F1" s="113" t="n"/>
      <c r="G1" s="114" t="n"/>
      <c r="H1" s="114" t="n"/>
      <c r="I1" s="115" t="n"/>
      <c r="J1" s="114" t="n"/>
      <c r="K1" s="4" t="n"/>
    </row>
    <row r="2" ht="15.75" customHeight="1">
      <c r="A2" s="6" t="inlineStr">
        <is>
          <t>1A, 4th Floor, Broadway B, 102 Nguyen Luong Bang Street, District 7, Ho Chi Minh City, Vietnam.
Tel: 84.28.5412.2189 ; Fax: 84.28.5413.6218</t>
        </is>
      </c>
    </row>
    <row r="3" ht="15.75" customHeight="1">
      <c r="A3" s="116" t="inlineStr">
        <is>
          <t>REX NUMBER: VNREX0306318488VCCI10L01 (Date from which the REX authorisation is valid: 15/06/2020)</t>
        </is>
      </c>
    </row>
    <row r="4" ht="27" customHeight="1">
      <c r="A4" s="8" t="inlineStr">
        <is>
          <t>INVOICE</t>
        </is>
      </c>
    </row>
    <row r="5">
      <c r="A5" s="117" t="inlineStr">
        <is>
          <t>BUYER/CUSTOMER:</t>
        </is>
      </c>
      <c r="B5" s="118" t="n"/>
      <c r="C5" s="119" t="inlineStr">
        <is>
          <t>INVOICE NO:</t>
        </is>
      </c>
      <c r="D5" s="120" t="n"/>
      <c r="E5" s="120" t="n"/>
      <c r="F5" s="120" t="n"/>
      <c r="G5" s="120" t="n"/>
      <c r="H5" s="121" t="n"/>
      <c r="I5" s="122" t="inlineStr">
        <is>
          <t>CLIENT :</t>
        </is>
      </c>
      <c r="J5" s="123" t="n"/>
      <c r="K5" s="124" t="inlineStr">
        <is>
          <t>DATE :</t>
        </is>
      </c>
    </row>
    <row r="6" ht="75" customHeight="1">
      <c r="A6" s="125" t="inlineStr">
        <is>
          <t>NIJST NV</t>
        </is>
      </c>
      <c r="B6" s="16" t="n"/>
      <c r="C6" s="126" t="inlineStr">
        <is>
          <t>NIJSTNV 220401</t>
        </is>
      </c>
      <c r="D6" s="18" t="n"/>
      <c r="E6" s="18" t="n"/>
      <c r="F6" s="18" t="n"/>
      <c r="G6" s="18" t="n"/>
      <c r="H6" s="19" t="n"/>
      <c r="I6" s="127" t="n"/>
      <c r="J6" s="128" t="n"/>
      <c r="K6" s="129" t="inlineStr">
        <is>
          <t>2022-04-15</t>
        </is>
      </c>
    </row>
    <row r="7" ht="22.5" customHeight="1">
      <c r="A7" s="130" t="inlineStr">
        <is>
          <t>Taunusweg 12</t>
        </is>
      </c>
      <c r="B7" s="16" t="n"/>
      <c r="C7" s="23" t="inlineStr">
        <is>
          <t>PORT OF ORIGIN:</t>
        </is>
      </c>
      <c r="H7" s="16" t="n"/>
      <c r="I7" s="24" t="inlineStr">
        <is>
          <t>FINAL DESTINATION:</t>
        </is>
      </c>
      <c r="J7" s="25" t="n"/>
      <c r="K7" s="26" t="inlineStr">
        <is>
          <t>STOCKYARD :</t>
        </is>
      </c>
    </row>
    <row r="8" ht="48" customHeight="1">
      <c r="A8" s="131" t="inlineStr">
        <is>
          <t>Munsterbilzen
3740
Belgium</t>
        </is>
      </c>
      <c r="B8" s="16" t="n"/>
      <c r="C8" s="132" t="inlineStr">
        <is>
          <t>HAI PHONG PORT</t>
        </is>
      </c>
      <c r="H8" s="16" t="n"/>
      <c r="I8" s="133" t="inlineStr">
        <is>
          <t>ANTWERP</t>
        </is>
      </c>
      <c r="J8" s="19" t="n"/>
      <c r="K8" s="21" t="inlineStr"/>
    </row>
    <row r="9" ht="36" customHeight="1">
      <c r="A9" s="131" t="inlineStr">
        <is>
          <t>Tel: +32 8941 6279</t>
        </is>
      </c>
      <c r="B9" s="16" t="n"/>
      <c r="C9" s="134" t="inlineStr">
        <is>
          <t>OCEAN VESSEL</t>
        </is>
      </c>
      <c r="D9" s="25" t="n"/>
      <c r="E9" s="25" t="n"/>
      <c r="F9" s="25" t="n"/>
      <c r="G9" s="32" t="inlineStr">
        <is>
          <t>B/L NO.</t>
        </is>
      </c>
      <c r="H9" s="33" t="n"/>
      <c r="I9" s="135" t="inlineStr">
        <is>
          <t>INCOTERMS:
☑ COLLECT
☐ PREPAID
☐ FREIGHT</t>
        </is>
      </c>
      <c r="J9" s="25" t="n"/>
      <c r="K9" s="35" t="n"/>
    </row>
    <row r="10" ht="34.5" customHeight="1">
      <c r="A10" s="130" t="inlineStr">
        <is>
          <t>Fax: +32 8941 7114</t>
        </is>
      </c>
      <c r="B10" s="16" t="n"/>
      <c r="C10" s="136" t="inlineStr">
        <is>
          <t>HAIAN PARK V.308S</t>
        </is>
      </c>
      <c r="D10" s="18" t="n"/>
      <c r="E10" s="18" t="n"/>
      <c r="F10" s="18" t="n"/>
      <c r="G10" s="133" t="inlineStr">
        <is>
          <t>HANR22040118</t>
        </is>
      </c>
      <c r="H10" s="19" t="n"/>
      <c r="I10" s="39" t="n"/>
      <c r="J10" s="18" t="n"/>
      <c r="K10" s="40" t="n"/>
    </row>
    <row r="11">
      <c r="A11" s="137" t="inlineStr">
        <is>
          <t>VAT NO. : BE0457.678.266</t>
        </is>
      </c>
      <c r="B11" s="138" t="n"/>
      <c r="C11" s="32" t="inlineStr">
        <is>
          <t>DEPARTURE DATE:</t>
        </is>
      </c>
      <c r="D11" s="25" t="n"/>
      <c r="E11" s="25" t="n"/>
      <c r="F11" s="25" t="n"/>
      <c r="G11" s="25" t="n"/>
      <c r="H11" s="33" t="n"/>
      <c r="I11" s="42" t="inlineStr">
        <is>
          <t>ARRIVAL SCHEDULE:</t>
        </is>
      </c>
      <c r="J11" s="25" t="n"/>
      <c r="K11" s="35" t="n"/>
    </row>
    <row r="12">
      <c r="A12" s="139" t="n"/>
      <c r="B12" s="140" t="n"/>
      <c r="C12" s="141" t="inlineStr">
        <is>
          <t>2022-04-08</t>
        </is>
      </c>
      <c r="D12" s="18" t="n"/>
      <c r="E12" s="18" t="n"/>
      <c r="F12" s="18" t="n"/>
      <c r="G12" s="18" t="n"/>
      <c r="H12" s="19" t="n"/>
      <c r="I12" s="142" t="inlineStr"/>
      <c r="J12" s="18" t="n"/>
      <c r="K12" s="40" t="n"/>
    </row>
    <row r="13" ht="31.5" customHeight="1">
      <c r="A13" s="41" t="inlineStr">
        <is>
          <t>REMARK NUMBER ON DOCUMENTS :</t>
        </is>
      </c>
      <c r="B13" s="33" t="n"/>
      <c r="C13" s="143" t="inlineStr">
        <is>
          <t>TERMS OF SALE:
☑ FOB
☐ C&amp;F
☐ CIF</t>
        </is>
      </c>
      <c r="D13" s="25" t="n"/>
      <c r="E13" s="25" t="n"/>
      <c r="F13" s="25" t="n"/>
      <c r="G13" s="33" t="n"/>
      <c r="H13" s="135" t="inlineStr">
        <is>
          <t>TERMS OF PAYMENT:
☐ IRREVOCABLE LETTER OF CREDIT
☑ T/T AT SIGHT DRAFT
☐ CASH IN ADVANCE/WIRE TRANSFER
☐ (30% DEPOSIT)</t>
        </is>
      </c>
      <c r="I13" s="25" t="n"/>
      <c r="J13" s="25" t="n"/>
      <c r="K13" s="35" t="n"/>
    </row>
    <row r="14" ht="32.25" customHeight="1">
      <c r="A14" s="144" t="inlineStr"/>
      <c r="B14" s="16" t="n"/>
      <c r="C14" s="145" t="n"/>
      <c r="G14" s="16" t="n"/>
      <c r="H14" s="145" t="n"/>
      <c r="K14" s="46" t="n"/>
    </row>
    <row r="15" ht="33.75" customHeight="1">
      <c r="A15" s="144" t="n"/>
      <c r="B15" s="16" t="n"/>
      <c r="C15" s="39" t="n"/>
      <c r="D15" s="18" t="n"/>
      <c r="E15" s="18" t="n"/>
      <c r="F15" s="18" t="n"/>
      <c r="G15" s="19" t="n"/>
      <c r="H15" s="39" t="n"/>
      <c r="I15" s="18" t="n"/>
      <c r="J15" s="18" t="n"/>
      <c r="K15" s="40" t="n"/>
    </row>
    <row r="16">
      <c r="A16" s="146" t="n"/>
      <c r="B16" s="147" t="n"/>
      <c r="C16" s="148" t="inlineStr">
        <is>
          <t>BANK DETAIL: A PLUS MINERAL MATERIAL CORPORATION</t>
        </is>
      </c>
      <c r="K16" s="46" t="n"/>
    </row>
    <row r="17">
      <c r="A17" s="146" t="n"/>
      <c r="B17" s="147" t="n"/>
      <c r="C17" s="148" t="inlineStr">
        <is>
          <t>A/C No: 018.137.261.4117 Bank for Foreign Trade of VietNam (Vietcombank), Nam SaiGon branch</t>
        </is>
      </c>
      <c r="K17" s="46" t="n"/>
    </row>
    <row r="18" ht="15.75" customHeight="1">
      <c r="A18" s="146" t="n"/>
      <c r="B18" s="147" t="n"/>
      <c r="C18" s="148" t="inlineStr">
        <is>
          <t>Swift Code: BFTVVNVX018 ; Tel: 84.8.5413.5124 ; Fax: 84.8.5413.5127</t>
        </is>
      </c>
      <c r="K18" s="46" t="n"/>
    </row>
    <row r="19">
      <c r="A19" s="149" t="inlineStr">
        <is>
          <t>ITEM
No.</t>
        </is>
      </c>
      <c r="B19" s="150" t="inlineStr">
        <is>
          <t>PRODUCT DESCRIPTION</t>
        </is>
      </c>
      <c r="C19" s="150" t="inlineStr">
        <is>
          <t>SIZE (cm)</t>
        </is>
      </c>
      <c r="D19" s="56" t="n"/>
      <c r="E19" s="57" t="n"/>
      <c r="F19" s="150" t="inlineStr">
        <is>
          <t>QUANTITY</t>
        </is>
      </c>
      <c r="G19" s="56" t="n"/>
      <c r="H19" s="57" t="n"/>
      <c r="I19" s="151" t="inlineStr">
        <is>
          <t>UNIT PRICE</t>
        </is>
      </c>
      <c r="J19" s="151" t="inlineStr">
        <is>
          <t>TOTAL PRICE
FOB</t>
        </is>
      </c>
      <c r="K19" s="152" t="inlineStr">
        <is>
          <t>NOTE</t>
        </is>
      </c>
    </row>
    <row r="20">
      <c r="A20" s="60" t="n"/>
      <c r="B20" s="61" t="n"/>
      <c r="C20" s="153" t="inlineStr">
        <is>
          <t>L</t>
        </is>
      </c>
      <c r="D20" s="153" t="inlineStr">
        <is>
          <t>W</t>
        </is>
      </c>
      <c r="E20" s="153" t="inlineStr">
        <is>
          <t>H</t>
        </is>
      </c>
      <c r="F20" s="154" t="inlineStr">
        <is>
          <t>pieces/ m2/tons</t>
        </is>
      </c>
      <c r="G20" s="33" t="n"/>
      <c r="H20" s="153" t="inlineStr">
        <is>
          <t>Containers</t>
        </is>
      </c>
      <c r="I20" s="61" t="n"/>
      <c r="J20" s="61" t="n"/>
      <c r="K20" s="66" t="n"/>
    </row>
    <row r="21" ht="86.25" customHeight="1">
      <c r="A21" s="155" t="inlineStr">
        <is>
          <t>1</t>
        </is>
      </c>
      <c r="B21" s="68" t="inlineStr">
        <is>
          <t>Bluestone Paving Premium tumbled</t>
        </is>
      </c>
      <c r="C21" s="155" t="n">
        <v>24</v>
      </c>
      <c r="D21" s="155" t="n">
        <v>8</v>
      </c>
      <c r="E21" s="155" t="n">
        <v>5</v>
      </c>
      <c r="F21" s="156" t="n">
        <v>200.45</v>
      </c>
      <c r="G21" s="155" t="inlineStr">
        <is>
          <t>M2</t>
        </is>
      </c>
      <c r="H21" s="157" t="n">
        <v>1</v>
      </c>
      <c r="I21" s="158" t="inlineStr">
        <is>
          <t>17.3 USD/M2</t>
        </is>
      </c>
      <c r="J21" s="159" t="n">
        <v>3467.79</v>
      </c>
      <c r="K21" s="77" t="inlineStr">
        <is>
          <t>12/A-X19/20 (TAH 1220/APNN)</t>
        </is>
      </c>
    </row>
    <row r="22" ht="86.25" customHeight="1">
      <c r="A22" s="155" t="inlineStr">
        <is>
          <t>2</t>
        </is>
      </c>
      <c r="B22" s="68" t="inlineStr">
        <is>
          <t>Bluestone Tiles - Vietnostyle</t>
        </is>
      </c>
      <c r="C22" s="155" t="n">
        <v>60</v>
      </c>
      <c r="D22" s="155" t="n">
        <v>60</v>
      </c>
      <c r="E22" s="155" t="n">
        <v>2.5</v>
      </c>
      <c r="F22" s="156" t="n">
        <v>403.2</v>
      </c>
      <c r="G22" s="155" t="inlineStr">
        <is>
          <t>M2</t>
        </is>
      </c>
      <c r="H22" s="157" t="n">
        <v>5</v>
      </c>
      <c r="I22" s="158" t="inlineStr">
        <is>
          <t>27.6 USD/M2</t>
        </is>
      </c>
      <c r="J22" s="159" t="n">
        <v>11128.32</v>
      </c>
      <c r="K22" s="77" t="inlineStr">
        <is>
          <t>07/A-X19/21 (TAH 0721/APNN)</t>
        </is>
      </c>
    </row>
    <row r="23" ht="86.25" customHeight="1">
      <c r="A23" s="155" t="inlineStr">
        <is>
          <t>3</t>
        </is>
      </c>
      <c r="B23" s="68" t="inlineStr">
        <is>
          <t>Bluestone Palisades - Scraped</t>
        </is>
      </c>
      <c r="C23" s="155" t="n">
        <v>100</v>
      </c>
      <c r="D23" s="155" t="n">
        <v>20</v>
      </c>
      <c r="E23" s="155" t="n">
        <v>5</v>
      </c>
      <c r="F23" s="156" t="n">
        <v>900</v>
      </c>
      <c r="G23" s="155" t="inlineStr">
        <is>
          <t>PCS</t>
        </is>
      </c>
      <c r="H23" s="157" t="n">
        <v>3</v>
      </c>
      <c r="I23" s="158" t="inlineStr">
        <is>
          <t>9.25 USD/PC</t>
        </is>
      </c>
      <c r="J23" s="159" t="n">
        <v>8325</v>
      </c>
      <c r="K23" s="77" t="inlineStr">
        <is>
          <t>07/A-X19/21 (TAH 0721/APNN)</t>
        </is>
      </c>
    </row>
    <row r="24" ht="86.25" customHeight="1">
      <c r="A24" s="155" t="inlineStr">
        <is>
          <t>4</t>
        </is>
      </c>
      <c r="B24" s="68" t="inlineStr">
        <is>
          <t>Bluestone Palisades - Scraped</t>
        </is>
      </c>
      <c r="C24" s="155" t="n">
        <v>100</v>
      </c>
      <c r="D24" s="155" t="n">
        <v>30</v>
      </c>
      <c r="E24" s="155" t="n">
        <v>5</v>
      </c>
      <c r="F24" s="156" t="n">
        <v>72</v>
      </c>
      <c r="G24" s="155" t="inlineStr">
        <is>
          <t>PCS</t>
        </is>
      </c>
      <c r="H24" s="157" t="n">
        <v>3</v>
      </c>
      <c r="I24" s="158" t="inlineStr">
        <is>
          <t>13.88 USD/PC</t>
        </is>
      </c>
      <c r="J24" s="159" t="n">
        <v>999.36</v>
      </c>
      <c r="K24" s="77" t="inlineStr">
        <is>
          <t>07/A-X19/21 (TAH 0721/APNN)</t>
        </is>
      </c>
    </row>
    <row r="25" ht="86.25" customHeight="1">
      <c r="A25" s="155" t="inlineStr">
        <is>
          <t>5</t>
        </is>
      </c>
      <c r="B25" s="68" t="inlineStr">
        <is>
          <t>Blue Limestone Kerb Scraped finish top and front, other sides sawn</t>
        </is>
      </c>
      <c r="C25" s="155" t="n">
        <v>100</v>
      </c>
      <c r="D25" s="155" t="n">
        <v>15</v>
      </c>
      <c r="E25" s="155" t="n">
        <v>5</v>
      </c>
      <c r="F25" s="156" t="n">
        <v>96</v>
      </c>
      <c r="G25" s="155" t="inlineStr">
        <is>
          <t>PCS</t>
        </is>
      </c>
      <c r="H25" s="157" t="n">
        <v>2</v>
      </c>
      <c r="I25" s="158" t="inlineStr">
        <is>
          <t>6.94 USD/PC</t>
        </is>
      </c>
      <c r="J25" s="159" t="n">
        <v>666.24</v>
      </c>
      <c r="K25" s="77" t="inlineStr">
        <is>
          <t>07/A-X19-18 (TAH 0718/APNN)</t>
        </is>
      </c>
    </row>
    <row r="26" ht="86.25" customHeight="1">
      <c r="A26" s="155" t="inlineStr">
        <is>
          <t>6</t>
        </is>
      </c>
      <c r="B26" s="68" t="inlineStr">
        <is>
          <t>Bluestone Palisades - Scraped</t>
        </is>
      </c>
      <c r="C26" s="155" t="n">
        <v>100</v>
      </c>
      <c r="D26" s="155" t="n">
        <v>20</v>
      </c>
      <c r="E26" s="155" t="n">
        <v>5</v>
      </c>
      <c r="F26" s="156" t="n">
        <v>468</v>
      </c>
      <c r="G26" s="155" t="inlineStr">
        <is>
          <t>PCS</t>
        </is>
      </c>
      <c r="H26" s="157" t="n">
        <v>2</v>
      </c>
      <c r="I26" s="158" t="inlineStr">
        <is>
          <t>9.25 USD/PC</t>
        </is>
      </c>
      <c r="J26" s="159" t="n">
        <v>4329</v>
      </c>
      <c r="K26" s="77" t="inlineStr">
        <is>
          <t>07/A-X19/21 (TAH 0721/APNN)</t>
        </is>
      </c>
    </row>
    <row r="27" ht="86.25" customHeight="1">
      <c r="A27" s="155" t="inlineStr">
        <is>
          <t>7</t>
        </is>
      </c>
      <c r="B27" s="68" t="inlineStr">
        <is>
          <t>Bluestone Palisades - Scraped</t>
        </is>
      </c>
      <c r="C27" s="155" t="n">
        <v>100</v>
      </c>
      <c r="D27" s="155" t="n">
        <v>30</v>
      </c>
      <c r="E27" s="155" t="n">
        <v>5</v>
      </c>
      <c r="F27" s="156" t="n">
        <v>312</v>
      </c>
      <c r="G27" s="155" t="inlineStr">
        <is>
          <t>PCS</t>
        </is>
      </c>
      <c r="H27" s="157" t="n">
        <v>2</v>
      </c>
      <c r="I27" s="158" t="inlineStr">
        <is>
          <t>13.88 USD/PC</t>
        </is>
      </c>
      <c r="J27" s="159" t="n">
        <v>4330.56</v>
      </c>
      <c r="K27" s="77" t="inlineStr">
        <is>
          <t>07/A-X19/21 (TAH 0721/APNN)</t>
        </is>
      </c>
    </row>
    <row r="28" ht="86.25" customHeight="1">
      <c r="A28" s="155" t="inlineStr">
        <is>
          <t>8</t>
        </is>
      </c>
      <c r="B28" s="68" t="inlineStr">
        <is>
          <t>Bluestone Cubic Premium Tumbled</t>
        </is>
      </c>
      <c r="C28" s="155" t="n">
        <v>20</v>
      </c>
      <c r="D28" s="155" t="n">
        <v>5</v>
      </c>
      <c r="E28" s="155" t="n">
        <v>5</v>
      </c>
      <c r="F28" s="156" t="n">
        <v>100.8</v>
      </c>
      <c r="G28" s="155" t="inlineStr">
        <is>
          <t>M2</t>
        </is>
      </c>
      <c r="H28" s="157" t="n">
        <v>6</v>
      </c>
      <c r="I28" s="158" t="inlineStr">
        <is>
          <t>17.3 USD/M2</t>
        </is>
      </c>
      <c r="J28" s="159" t="n">
        <v>1743.84</v>
      </c>
      <c r="K28" s="77" t="inlineStr">
        <is>
          <t>09/A-X19/20 (TAH 0920/APNN)</t>
        </is>
      </c>
    </row>
    <row r="29" ht="86.25" customHeight="1">
      <c r="A29" s="155" t="inlineStr">
        <is>
          <t>9</t>
        </is>
      </c>
      <c r="B29" s="68" t="inlineStr">
        <is>
          <t>Bluestone Paving Premium tumbled</t>
        </is>
      </c>
      <c r="C29" s="155" t="n">
        <v>15</v>
      </c>
      <c r="D29" s="155" t="n">
        <v>15</v>
      </c>
      <c r="E29" s="155" t="n">
        <v>5</v>
      </c>
      <c r="F29" s="156" t="n">
        <v>7.2</v>
      </c>
      <c r="G29" s="155" t="inlineStr">
        <is>
          <t>M2</t>
        </is>
      </c>
      <c r="H29" s="157" t="n">
        <v>6</v>
      </c>
      <c r="I29" s="158" t="inlineStr">
        <is>
          <t>16.8 USD/M2</t>
        </is>
      </c>
      <c r="J29" s="159" t="n">
        <v>120.96</v>
      </c>
      <c r="K29" s="77" t="inlineStr">
        <is>
          <t>07/A-X19/21 (TAH 0721/APNN)</t>
        </is>
      </c>
    </row>
    <row r="30" ht="86.25" customHeight="1">
      <c r="A30" s="155" t="inlineStr">
        <is>
          <t>10</t>
        </is>
      </c>
      <c r="B30" s="68" t="inlineStr">
        <is>
          <t>Bluestone Paving Premium tumbled</t>
        </is>
      </c>
      <c r="C30" s="155" t="n">
        <v>24</v>
      </c>
      <c r="D30" s="155" t="n">
        <v>8</v>
      </c>
      <c r="E30" s="155" t="n">
        <v>5</v>
      </c>
      <c r="F30" s="156" t="n">
        <v>89.86</v>
      </c>
      <c r="G30" s="155" t="inlineStr">
        <is>
          <t>M2</t>
        </is>
      </c>
      <c r="H30" s="157" t="n">
        <v>6</v>
      </c>
      <c r="I30" s="158" t="inlineStr">
        <is>
          <t>17.3 USD/M2</t>
        </is>
      </c>
      <c r="J30" s="159" t="n">
        <v>1554.58</v>
      </c>
      <c r="K30" s="77" t="inlineStr">
        <is>
          <t>12/A-X19/20 (TAH 1220/APNN)</t>
        </is>
      </c>
    </row>
    <row r="31" ht="86.25" customHeight="1">
      <c r="A31" s="155" t="inlineStr">
        <is>
          <t>11</t>
        </is>
      </c>
      <c r="B31" s="68" t="inlineStr">
        <is>
          <t>Bluestone Palisades - Old Imitation</t>
        </is>
      </c>
      <c r="C31" s="155" t="n">
        <v>100</v>
      </c>
      <c r="D31" s="155" t="n">
        <v>15</v>
      </c>
      <c r="E31" s="155" t="n">
        <v>5</v>
      </c>
      <c r="F31" s="156" t="n">
        <v>144</v>
      </c>
      <c r="G31" s="155" t="inlineStr">
        <is>
          <t>PCS</t>
        </is>
      </c>
      <c r="H31" s="157" t="n">
        <v>7</v>
      </c>
      <c r="I31" s="158" t="inlineStr">
        <is>
          <t>6.19 USD/PC</t>
        </is>
      </c>
      <c r="J31" s="159" t="n">
        <v>891.36</v>
      </c>
      <c r="K31" s="77" t="inlineStr">
        <is>
          <t>04/A-X19-19 (TAH 0419/APNN)</t>
        </is>
      </c>
    </row>
    <row r="32" ht="86.25" customHeight="1">
      <c r="A32" s="155" t="inlineStr">
        <is>
          <t>12</t>
        </is>
      </c>
      <c r="B32" s="68" t="inlineStr">
        <is>
          <t>Bluestone Palisades - Old Imitation</t>
        </is>
      </c>
      <c r="C32" s="155" t="n">
        <v>100</v>
      </c>
      <c r="D32" s="155" t="n">
        <v>20</v>
      </c>
      <c r="E32" s="155" t="n">
        <v>5</v>
      </c>
      <c r="F32" s="156" t="n">
        <v>468</v>
      </c>
      <c r="G32" s="155" t="inlineStr">
        <is>
          <t>PCS</t>
        </is>
      </c>
      <c r="H32" s="157" t="n">
        <v>7</v>
      </c>
      <c r="I32" s="158" t="inlineStr">
        <is>
          <t>8.25 USD/PC</t>
        </is>
      </c>
      <c r="J32" s="159" t="n">
        <v>3861</v>
      </c>
      <c r="K32" s="77" t="inlineStr">
        <is>
          <t>07/A-X19/21 (TAH 0721/APNN)</t>
        </is>
      </c>
    </row>
    <row r="33" ht="86.25" customHeight="1">
      <c r="A33" s="155" t="inlineStr">
        <is>
          <t>13</t>
        </is>
      </c>
      <c r="B33" s="68" t="inlineStr">
        <is>
          <t>Bluestone Palisades - Old Imitation</t>
        </is>
      </c>
      <c r="C33" s="155" t="n">
        <v>100</v>
      </c>
      <c r="D33" s="155" t="n">
        <v>30</v>
      </c>
      <c r="E33" s="155" t="n">
        <v>5</v>
      </c>
      <c r="F33" s="156" t="n">
        <v>216</v>
      </c>
      <c r="G33" s="155" t="inlineStr">
        <is>
          <t>PCS</t>
        </is>
      </c>
      <c r="H33" s="157" t="n">
        <v>7</v>
      </c>
      <c r="I33" s="158" t="inlineStr">
        <is>
          <t>12.37 USD/PC</t>
        </is>
      </c>
      <c r="J33" s="159" t="n">
        <v>2671.92</v>
      </c>
      <c r="K33" s="77" t="inlineStr">
        <is>
          <t>07/A-X19/21 (TAH 0721/APNN)</t>
        </is>
      </c>
    </row>
    <row r="34" ht="86.25" customHeight="1">
      <c r="A34" s="155" t="inlineStr">
        <is>
          <t>14</t>
        </is>
      </c>
      <c r="B34" s="68" t="inlineStr">
        <is>
          <t>Bluestone Palisades - Scraped (slight honed)</t>
        </is>
      </c>
      <c r="C34" s="155" t="n">
        <v>100</v>
      </c>
      <c r="D34" s="155" t="n">
        <v>25</v>
      </c>
      <c r="E34" s="155" t="n">
        <v>8</v>
      </c>
      <c r="F34" s="156" t="n">
        <v>40</v>
      </c>
      <c r="G34" s="155" t="inlineStr">
        <is>
          <t>PCS</t>
        </is>
      </c>
      <c r="H34" s="157" t="n">
        <v>7</v>
      </c>
      <c r="I34" s="158" t="inlineStr">
        <is>
          <t>15.5 USD/PC</t>
        </is>
      </c>
      <c r="J34" s="159" t="n">
        <v>620</v>
      </c>
      <c r="K34" s="77" t="inlineStr">
        <is>
          <t>09/A-X19/20 (TAH 0920/APNN)</t>
        </is>
      </c>
    </row>
    <row r="35" ht="86.25" customHeight="1">
      <c r="A35" s="155" t="inlineStr">
        <is>
          <t>15</t>
        </is>
      </c>
      <c r="B35" s="68" t="inlineStr">
        <is>
          <t>Bluestone Tiles - Vietnostyle</t>
        </is>
      </c>
      <c r="C35" s="155" t="n">
        <v>50</v>
      </c>
      <c r="D35" s="155" t="n">
        <v>50</v>
      </c>
      <c r="E35" s="155" t="n">
        <v>2.5</v>
      </c>
      <c r="F35" s="156" t="n">
        <v>400</v>
      </c>
      <c r="G35" s="155" t="inlineStr">
        <is>
          <t>M2</t>
        </is>
      </c>
      <c r="H35" s="157" t="n">
        <v>4</v>
      </c>
      <c r="I35" s="158" t="inlineStr">
        <is>
          <t>21.6 USD/M2</t>
        </is>
      </c>
      <c r="J35" s="159" t="n">
        <v>8640</v>
      </c>
      <c r="K35" s="77" t="inlineStr">
        <is>
          <t>07/A-X19/21 (TAH 0721/APNN)</t>
        </is>
      </c>
    </row>
    <row r="36">
      <c r="A36" s="160" t="inlineStr">
        <is>
          <t xml:space="preserve">1. All price quoted herein are US dollars.
2. Prices quoted herein for merchandise only are valid for 90 days.
3. Any changes in shipping costs or insurance rates are for account of the buyer.
</t>
        </is>
      </c>
      <c r="B36" s="25" t="n"/>
      <c r="C36" s="25" t="n"/>
      <c r="D36" s="25" t="n"/>
      <c r="E36" s="25" t="n"/>
      <c r="F36" s="25" t="n"/>
      <c r="G36" s="33" t="n"/>
      <c r="H36" s="161" t="inlineStr">
        <is>
          <t>SUBTOTAL</t>
        </is>
      </c>
      <c r="I36" s="162" t="inlineStr">
        <is>
          <t>53349.93</t>
        </is>
      </c>
      <c r="J36" s="163" t="n"/>
      <c r="K36" s="164" t="n"/>
    </row>
    <row r="37">
      <c r="G37" s="16" t="n"/>
      <c r="H37" s="161" t="inlineStr">
        <is>
          <t>Fumigation</t>
        </is>
      </c>
      <c r="I37" s="165" t="inlineStr">
        <is>
          <t>Included</t>
        </is>
      </c>
      <c r="J37" s="163" t="n"/>
      <c r="K37" s="164" t="n"/>
    </row>
    <row r="38">
      <c r="G38" s="16" t="n"/>
      <c r="H38" s="166" t="inlineStr">
        <is>
          <t>Discount 1.5 %</t>
        </is>
      </c>
      <c r="I38" s="162" t="inlineStr">
        <is>
          <t>800.25</t>
        </is>
      </c>
      <c r="J38" s="163" t="n"/>
      <c r="K38" s="164" t="n"/>
    </row>
    <row r="39">
      <c r="G39" s="16" t="n"/>
      <c r="H39" s="166" t="n"/>
      <c r="I39" s="162" t="n"/>
      <c r="J39" s="163" t="n"/>
      <c r="K39" s="164" t="n"/>
    </row>
    <row r="40">
      <c r="G40" s="16" t="n"/>
      <c r="H40" s="166" t="n"/>
      <c r="I40" s="162" t="n"/>
      <c r="J40" s="163" t="n"/>
      <c r="K40" s="164" t="n"/>
    </row>
    <row r="41">
      <c r="A41" s="18" t="n"/>
      <c r="B41" s="18" t="n"/>
      <c r="C41" s="18" t="n"/>
      <c r="D41" s="18" t="n"/>
      <c r="E41" s="18" t="n"/>
      <c r="F41" s="18" t="n"/>
      <c r="G41" s="19" t="n"/>
      <c r="H41" s="166" t="n"/>
      <c r="I41" s="162" t="n"/>
      <c r="J41" s="163" t="n"/>
      <c r="K41" s="164" t="n"/>
    </row>
    <row r="42" ht="15.75" customHeight="1">
      <c r="A42" s="167" t="inlineStr">
        <is>
          <t xml:space="preserve">In words:
</t>
        </is>
      </c>
      <c r="B42" s="163" t="n"/>
      <c r="C42" s="163" t="n"/>
      <c r="D42" s="163" t="n"/>
      <c r="E42" s="163" t="n"/>
      <c r="F42" s="163" t="n"/>
      <c r="G42" s="164" t="n"/>
      <c r="H42" s="161" t="inlineStr">
        <is>
          <t>BALANCE:</t>
        </is>
      </c>
      <c r="I42" s="162" t="inlineStr">
        <is>
          <t>51349.68</t>
        </is>
      </c>
      <c r="J42" s="163" t="n"/>
      <c r="K42" s="164" t="n"/>
    </row>
    <row r="43" ht="15.75" customHeight="1">
      <c r="A43" s="101" t="n"/>
      <c r="B43" s="101" t="n"/>
      <c r="C43" s="101" t="n"/>
      <c r="D43" s="101" t="n"/>
      <c r="E43" s="101" t="n"/>
      <c r="F43" s="168" t="n"/>
      <c r="G43" s="101" t="n"/>
      <c r="H43" s="169" t="n"/>
      <c r="I43" s="170" t="n"/>
      <c r="J43" s="170" t="n"/>
      <c r="K43" s="170" t="n"/>
    </row>
    <row r="44" ht="15.75" customHeight="1">
      <c r="A44" s="101" t="n"/>
      <c r="B44" s="101" t="n"/>
      <c r="C44" s="101" t="n"/>
      <c r="D44" s="101" t="n"/>
      <c r="E44" s="101" t="n"/>
      <c r="F44" s="168" t="n"/>
      <c r="G44" s="101" t="n"/>
      <c r="H44" s="171" t="inlineStr">
        <is>
          <t>FOR AND ON BEHALF OF SELLER</t>
        </is>
      </c>
    </row>
    <row r="45">
      <c r="A45" s="101" t="n"/>
      <c r="B45" s="101" t="n"/>
      <c r="C45" s="101" t="n"/>
      <c r="D45" s="101" t="n"/>
      <c r="E45" s="101" t="n"/>
      <c r="F45" s="168" t="n"/>
      <c r="G45" s="101" t="n"/>
      <c r="H45" s="99" t="inlineStr">
        <is>
          <t>A PLUS MINERAL MATERIAL CORPORATION</t>
        </is>
      </c>
    </row>
    <row r="46">
      <c r="A46" s="101" t="n"/>
      <c r="B46" s="101" t="n"/>
      <c r="C46" s="101" t="n"/>
      <c r="D46" s="101" t="n"/>
      <c r="E46" s="101" t="n"/>
      <c r="F46" s="168" t="n"/>
      <c r="G46" s="101" t="n"/>
      <c r="H46" s="99" t="n"/>
      <c r="I46" s="99" t="n"/>
      <c r="J46" s="99" t="n"/>
      <c r="K46" s="99" t="n"/>
    </row>
    <row r="47">
      <c r="A47" s="101" t="n"/>
      <c r="B47" s="101" t="n"/>
      <c r="C47" s="101" t="n"/>
      <c r="D47" s="101" t="n"/>
      <c r="E47" s="101" t="n"/>
      <c r="F47" s="168" t="n"/>
      <c r="G47" s="101" t="n"/>
      <c r="H47" s="99" t="n"/>
      <c r="I47" s="99" t="n"/>
      <c r="J47" s="99" t="n"/>
      <c r="K47" s="99" t="n"/>
    </row>
    <row r="48">
      <c r="A48" s="101" t="n"/>
      <c r="B48" s="101" t="n"/>
      <c r="C48" s="101" t="n"/>
      <c r="D48" s="101" t="n"/>
      <c r="E48" s="101" t="n"/>
      <c r="F48" s="168" t="n"/>
      <c r="G48" s="101" t="n"/>
      <c r="H48" s="99" t="n"/>
      <c r="I48" s="99" t="n"/>
      <c r="J48" s="99" t="n"/>
      <c r="K48" s="99" t="n"/>
    </row>
    <row r="49">
      <c r="A49" s="101" t="n"/>
      <c r="B49" s="101" t="n"/>
      <c r="C49" s="101" t="n"/>
      <c r="D49" s="101" t="n"/>
      <c r="E49" s="101" t="n"/>
      <c r="F49" s="168" t="n"/>
      <c r="G49" s="101" t="n"/>
      <c r="H49" s="99" t="n"/>
      <c r="I49" s="99" t="n"/>
      <c r="J49" s="99" t="n"/>
      <c r="K49" s="99" t="n"/>
    </row>
    <row r="50">
      <c r="A50" s="101" t="n"/>
      <c r="B50" s="101" t="n"/>
      <c r="C50" s="101" t="n"/>
      <c r="D50" s="101" t="n"/>
      <c r="E50" s="101" t="n"/>
      <c r="F50" s="168" t="n"/>
      <c r="G50" s="101" t="n"/>
      <c r="H50" s="99" t="n"/>
      <c r="I50" s="99" t="n"/>
      <c r="J50" s="99" t="n"/>
      <c r="K50" s="99" t="n"/>
    </row>
    <row r="51">
      <c r="A51" s="101" t="n"/>
      <c r="B51" s="101" t="n"/>
      <c r="C51" s="101" t="n"/>
      <c r="D51" s="101" t="n"/>
      <c r="E51" s="101" t="n"/>
      <c r="F51" s="168" t="n"/>
      <c r="G51" s="101" t="n"/>
      <c r="H51" s="99" t="n"/>
      <c r="I51" s="99" t="n"/>
      <c r="J51" s="99" t="n"/>
      <c r="K51" s="99" t="n"/>
    </row>
    <row r="52">
      <c r="A52" s="101" t="n"/>
      <c r="B52" s="101" t="n"/>
      <c r="C52" s="101" t="n"/>
      <c r="D52" s="101" t="n"/>
      <c r="E52" s="101" t="n"/>
      <c r="F52" s="168" t="n"/>
      <c r="G52" s="101" t="n"/>
      <c r="H52" s="99" t="n"/>
      <c r="I52" s="99" t="n"/>
      <c r="J52" s="99" t="n"/>
      <c r="K52" s="99" t="n"/>
    </row>
    <row r="53">
      <c r="A53" s="101" t="n"/>
      <c r="B53" s="101" t="n"/>
      <c r="C53" s="101" t="n"/>
      <c r="D53" s="101" t="n"/>
      <c r="E53" s="97" t="n"/>
      <c r="F53" s="172" t="n"/>
      <c r="G53" s="101" t="n"/>
      <c r="H53" s="99" t="n"/>
      <c r="I53" s="99" t="n"/>
      <c r="J53" s="99" t="n"/>
      <c r="K53" s="99" t="n"/>
    </row>
    <row r="54">
      <c r="A54" s="101" t="n"/>
      <c r="B54" s="101" t="n"/>
      <c r="C54" s="101" t="n"/>
      <c r="D54" s="101" t="n"/>
      <c r="E54" s="101" t="n"/>
      <c r="F54" s="168" t="n"/>
      <c r="G54" s="101" t="n"/>
      <c r="H54" s="101" t="n"/>
      <c r="I54" s="173" t="n"/>
      <c r="J54" s="101" t="n"/>
      <c r="K54" s="99" t="n"/>
    </row>
    <row r="55">
      <c r="A55" s="101" t="n"/>
      <c r="B55" s="101" t="n"/>
      <c r="C55" s="101" t="n"/>
      <c r="D55" s="101" t="n"/>
      <c r="E55" s="101" t="n"/>
      <c r="F55" s="168" t="n"/>
      <c r="G55" s="101" t="n"/>
      <c r="H55" s="101" t="n"/>
      <c r="I55" s="173" t="n"/>
      <c r="J55" s="101" t="n"/>
      <c r="K55" s="99" t="n"/>
    </row>
    <row r="56">
      <c r="A56" s="101" t="n"/>
      <c r="B56" s="101" t="n"/>
      <c r="C56" s="101" t="n"/>
      <c r="D56" s="101" t="n"/>
      <c r="E56" s="101" t="n"/>
      <c r="F56" s="168" t="n"/>
      <c r="G56" s="101" t="n"/>
      <c r="H56" s="100" t="inlineStr">
        <is>
          <t>TRAN ANH HOANG</t>
        </is>
      </c>
    </row>
    <row r="57">
      <c r="A57" s="101" t="n"/>
      <c r="B57" s="101" t="n"/>
      <c r="C57" s="101" t="n"/>
      <c r="D57" s="101" t="n"/>
      <c r="E57" s="101" t="n"/>
      <c r="F57" s="168" t="n"/>
      <c r="G57" s="101" t="n"/>
      <c r="H57" s="100" t="n"/>
      <c r="I57" s="100" t="n"/>
      <c r="J57" s="100" t="n"/>
      <c r="K57" s="100" t="n"/>
    </row>
    <row r="58">
      <c r="A58" s="112" t="inlineStr">
        <is>
          <t xml:space="preserve">The Exporter: A PLUS MINERAL MATERIAL CORPORATION. VNREX0306318488VCCI10L01 of the products covered by this documents declares that, except where otherwise </t>
        </is>
      </c>
      <c r="B58" s="106" t="n"/>
      <c r="C58" s="105" t="n"/>
      <c r="D58" s="105" t="n"/>
      <c r="E58" s="105" t="n"/>
      <c r="F58" s="105" t="n"/>
      <c r="G58" s="107" t="n"/>
      <c r="H58" s="100" t="n"/>
      <c r="I58" s="100" t="n"/>
      <c r="J58" s="100" t="n"/>
      <c r="K58" s="100" t="n"/>
    </row>
    <row r="59">
      <c r="A59" s="112" t="inlineStr">
        <is>
          <t>clearly indicated, these products are of Vietnam origin according to the rules of origin of the Generalized System of Preferances of the European Union and  that the origin</t>
        </is>
      </c>
      <c r="B59" s="106" t="n"/>
      <c r="C59" s="105" t="n"/>
      <c r="D59" s="105" t="n"/>
      <c r="E59" s="105" t="n"/>
      <c r="F59" s="105" t="n"/>
      <c r="G59" s="107" t="n"/>
      <c r="H59" s="106" t="n"/>
      <c r="I59" s="106" t="n"/>
      <c r="J59" s="109" t="n"/>
      <c r="K59" s="110" t="n"/>
    </row>
    <row r="60">
      <c r="H60" s="106" t="n"/>
      <c r="I60" s="106" t="n"/>
      <c r="J60" s="109" t="n"/>
      <c r="K60" s="110" t="n"/>
    </row>
  </sheetData>
  <mergeCells count="53">
    <mergeCell ref="I41:K41"/>
    <mergeCell ref="C16:K16"/>
    <mergeCell ref="I6:J6"/>
    <mergeCell ref="A15:B15"/>
    <mergeCell ref="I37:K37"/>
    <mergeCell ref="I9:K10"/>
    <mergeCell ref="I12:K12"/>
    <mergeCell ref="C12:H12"/>
    <mergeCell ref="A6:B6"/>
    <mergeCell ref="H13:K15"/>
    <mergeCell ref="A36:G41"/>
    <mergeCell ref="C11:H11"/>
    <mergeCell ref="I42:K42"/>
    <mergeCell ref="A7:B7"/>
    <mergeCell ref="I7:J7"/>
    <mergeCell ref="G10:H10"/>
    <mergeCell ref="F20:G20"/>
    <mergeCell ref="I39:K39"/>
    <mergeCell ref="C8:H8"/>
    <mergeCell ref="C17:K17"/>
    <mergeCell ref="C7:H7"/>
    <mergeCell ref="B19:B20"/>
    <mergeCell ref="I38:K38"/>
    <mergeCell ref="H44:K44"/>
    <mergeCell ref="A3:K3"/>
    <mergeCell ref="C19:E19"/>
    <mergeCell ref="H56:K56"/>
    <mergeCell ref="A2:K2"/>
    <mergeCell ref="C18:K18"/>
    <mergeCell ref="I5:J5"/>
    <mergeCell ref="A14:B14"/>
    <mergeCell ref="I40:K40"/>
    <mergeCell ref="I8:J8"/>
    <mergeCell ref="C10:F10"/>
    <mergeCell ref="I19:I20"/>
    <mergeCell ref="A8:B8"/>
    <mergeCell ref="K19:K20"/>
    <mergeCell ref="A19:A20"/>
    <mergeCell ref="C6:H6"/>
    <mergeCell ref="C9:F9"/>
    <mergeCell ref="I11:K11"/>
    <mergeCell ref="A4:K4"/>
    <mergeCell ref="F19:H19"/>
    <mergeCell ref="I36:K36"/>
    <mergeCell ref="C5:H5"/>
    <mergeCell ref="A10:B10"/>
    <mergeCell ref="A13:B13"/>
    <mergeCell ref="H45:K45"/>
    <mergeCell ref="C13:G15"/>
    <mergeCell ref="A9:B9"/>
    <mergeCell ref="G9:H9"/>
    <mergeCell ref="J19:J20"/>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2025-11-27T09:39:14Z</dcterms:created>
  <dcterms:modified xmlns:dcterms="http://purl.org/dc/terms/" xmlns:xsi="http://www.w3.org/2001/XMLSchema-instance" xsi:type="dcterms:W3CDTF">2025-11-27T09:39:15Z</dcterms:modified>
</cp:coreProperties>
</file>